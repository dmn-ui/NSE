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cpforke-my.sharepoint.com/personal/dmurathi_cpf_or_ke/Documents/Attachments/Desktop/NSE/"/>
    </mc:Choice>
  </mc:AlternateContent>
  <xr:revisionPtr revIDLastSave="0" documentId="8_{4E5AF1FB-397A-482F-9182-CD79503568FE}" xr6:coauthVersionLast="47" xr6:coauthVersionMax="47" xr10:uidLastSave="{00000000-0000-0000-0000-000000000000}"/>
  <bookViews>
    <workbookView xWindow="-110" yWindow="-110" windowWidth="19420" windowHeight="10300" activeTab="1" xr2:uid="{B40961A3-3FFF-4EBC-B81C-141E251E13F0}"/>
  </bookViews>
  <sheets>
    <sheet name="Price-List" sheetId="1" r:id="rId1"/>
    <sheet name="Sheet1" sheetId="2" r:id="rId2"/>
  </sheets>
  <definedNames>
    <definedName name="__xleta.IF" hidden="1" xlm="1" functionGroupId="14">#NAME?</definedName>
    <definedName name="__xleta.PRICE" hidden="1" xlm="1" functionGroupId="14">#NAME?</definedName>
    <definedName name="_xlnm._FilterDatabase" localSheetId="0" hidden="1">'Price-List'!$A$15:$E$27</definedName>
    <definedName name="_xlnm._FilterDatabase" localSheetId="1" hidden="1">Sheet1!$A$1:$H$8</definedName>
    <definedName name="_xlnm.Print_Area" localSheetId="0">'Price-List'!$A$1:$L$178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15" i="1" l="1"/>
  <c r="K111" i="1"/>
  <c r="C96" i="2"/>
  <c r="C71" i="2"/>
  <c r="C60" i="2"/>
  <c r="C45" i="2"/>
  <c r="C34" i="2"/>
  <c r="C32" i="2"/>
  <c r="C24" i="2"/>
  <c r="C22" i="2"/>
  <c r="C20" i="2"/>
  <c r="C19" i="2"/>
  <c r="C11" i="2"/>
  <c r="C8" i="2"/>
  <c r="C5" i="2"/>
  <c r="C98" i="2"/>
  <c r="C180" i="1"/>
  <c r="K107" i="1"/>
  <c r="V99" i="1"/>
  <c r="U99" i="1"/>
  <c r="W99" i="1"/>
  <c r="S99" i="1"/>
  <c r="T99" i="1"/>
  <c r="R99" i="1"/>
  <c r="N99" i="1"/>
  <c r="M99" i="1"/>
  <c r="O99" i="1"/>
  <c r="F97" i="2"/>
  <c r="D97" i="2"/>
  <c r="V98" i="1"/>
  <c r="W98" i="1"/>
  <c r="U98" i="1"/>
  <c r="S98" i="1"/>
  <c r="T98" i="1"/>
  <c r="R98" i="1"/>
  <c r="N98" i="1"/>
  <c r="M98" i="1"/>
  <c r="O98" i="1"/>
  <c r="F96" i="2"/>
  <c r="D96" i="2"/>
  <c r="N97" i="1"/>
  <c r="M97" i="1"/>
  <c r="N96" i="1"/>
  <c r="M96" i="1"/>
  <c r="V95" i="1"/>
  <c r="W95" i="1"/>
  <c r="U95" i="1"/>
  <c r="T95" i="1"/>
  <c r="S95" i="1"/>
  <c r="R95" i="1"/>
  <c r="N95" i="1"/>
  <c r="M95" i="1"/>
  <c r="O95" i="1"/>
  <c r="F93" i="2"/>
  <c r="V94" i="1"/>
  <c r="W94" i="1"/>
  <c r="U94" i="1"/>
  <c r="S94" i="1"/>
  <c r="T94" i="1"/>
  <c r="R94" i="1"/>
  <c r="N94" i="1"/>
  <c r="M94" i="1"/>
  <c r="O94" i="1"/>
  <c r="F92" i="2"/>
  <c r="V93" i="1"/>
  <c r="W93" i="1"/>
  <c r="U93" i="1"/>
  <c r="S93" i="1"/>
  <c r="T93" i="1"/>
  <c r="R93" i="1"/>
  <c r="N93" i="1"/>
  <c r="M93" i="1"/>
  <c r="O93" i="1"/>
  <c r="F91" i="2"/>
  <c r="V92" i="1"/>
  <c r="W92" i="1"/>
  <c r="U92" i="1"/>
  <c r="S92" i="1"/>
  <c r="T92" i="1"/>
  <c r="R92" i="1"/>
  <c r="N92" i="1"/>
  <c r="M92" i="1"/>
  <c r="AA91" i="1"/>
  <c r="Z91" i="1"/>
  <c r="V91" i="1"/>
  <c r="W91" i="1"/>
  <c r="U91" i="1"/>
  <c r="S91" i="1"/>
  <c r="R91" i="1"/>
  <c r="T91" i="1"/>
  <c r="N91" i="1"/>
  <c r="M91" i="1"/>
  <c r="V90" i="1"/>
  <c r="W90" i="1"/>
  <c r="U90" i="1"/>
  <c r="S90" i="1"/>
  <c r="T90" i="1"/>
  <c r="R90" i="1"/>
  <c r="N90" i="1"/>
  <c r="M90" i="1"/>
  <c r="O90" i="1"/>
  <c r="F88" i="2"/>
  <c r="V89" i="1"/>
  <c r="U89" i="1"/>
  <c r="W89" i="1"/>
  <c r="S89" i="1"/>
  <c r="T89" i="1"/>
  <c r="R89" i="1"/>
  <c r="N89" i="1"/>
  <c r="M89" i="1"/>
  <c r="AA87" i="1"/>
  <c r="Z87" i="1"/>
  <c r="V87" i="1"/>
  <c r="W87" i="1"/>
  <c r="U87" i="1"/>
  <c r="S87" i="1"/>
  <c r="R87" i="1"/>
  <c r="T87" i="1"/>
  <c r="N87" i="1"/>
  <c r="M87" i="1"/>
  <c r="O87" i="1"/>
  <c r="F85" i="2"/>
  <c r="V86" i="1"/>
  <c r="W86" i="1"/>
  <c r="U86" i="1"/>
  <c r="S86" i="1"/>
  <c r="T86" i="1"/>
  <c r="R86" i="1"/>
  <c r="N86" i="1"/>
  <c r="M86" i="1"/>
  <c r="O86" i="1"/>
  <c r="F84" i="2"/>
  <c r="V85" i="1"/>
  <c r="W85" i="1"/>
  <c r="U85" i="1"/>
  <c r="S85" i="1"/>
  <c r="T85" i="1"/>
  <c r="R85" i="1"/>
  <c r="N85" i="1"/>
  <c r="M85" i="1"/>
  <c r="O85" i="1"/>
  <c r="F83" i="2"/>
  <c r="Z84" i="1"/>
  <c r="AA84" i="1"/>
  <c r="V84" i="1"/>
  <c r="U84" i="1"/>
  <c r="W84" i="1"/>
  <c r="S84" i="1"/>
  <c r="R84" i="1"/>
  <c r="N84" i="1"/>
  <c r="M84" i="1"/>
  <c r="O84" i="1"/>
  <c r="F82" i="2"/>
  <c r="V83" i="1"/>
  <c r="W83" i="1"/>
  <c r="U83" i="1"/>
  <c r="S83" i="1"/>
  <c r="T83" i="1"/>
  <c r="R83" i="1"/>
  <c r="N83" i="1"/>
  <c r="M83" i="1"/>
  <c r="O83" i="1"/>
  <c r="F81" i="2"/>
  <c r="V82" i="1"/>
  <c r="W82" i="1"/>
  <c r="U82" i="1"/>
  <c r="S82" i="1"/>
  <c r="T82" i="1"/>
  <c r="R82" i="1"/>
  <c r="N82" i="1"/>
  <c r="M82" i="1"/>
  <c r="O82" i="1"/>
  <c r="F80" i="2"/>
  <c r="V81" i="1"/>
  <c r="U81" i="1"/>
  <c r="W81" i="1"/>
  <c r="S81" i="1"/>
  <c r="R81" i="1"/>
  <c r="N81" i="1"/>
  <c r="M81" i="1"/>
  <c r="O81" i="1"/>
  <c r="F79" i="2"/>
  <c r="V80" i="1"/>
  <c r="W80" i="1"/>
  <c r="U80" i="1"/>
  <c r="S80" i="1"/>
  <c r="R80" i="1"/>
  <c r="T80" i="1"/>
  <c r="N80" i="1"/>
  <c r="M80" i="1"/>
  <c r="O80" i="1"/>
  <c r="F78" i="2"/>
  <c r="V79" i="1"/>
  <c r="W79" i="1"/>
  <c r="U79" i="1"/>
  <c r="S79" i="1"/>
  <c r="R79" i="1"/>
  <c r="N79" i="1"/>
  <c r="M79" i="1"/>
  <c r="O79" i="1"/>
  <c r="F77" i="2"/>
  <c r="V78" i="1"/>
  <c r="W78" i="1"/>
  <c r="U78" i="1"/>
  <c r="S78" i="1"/>
  <c r="T78" i="1"/>
  <c r="R78" i="1"/>
  <c r="N78" i="1"/>
  <c r="M78" i="1"/>
  <c r="V77" i="1"/>
  <c r="W77" i="1"/>
  <c r="U77" i="1"/>
  <c r="S77" i="1"/>
  <c r="T77" i="1"/>
  <c r="R77" i="1"/>
  <c r="N77" i="1"/>
  <c r="M77" i="1"/>
  <c r="V76" i="1"/>
  <c r="W76" i="1"/>
  <c r="U76" i="1"/>
  <c r="S76" i="1"/>
  <c r="R76" i="1"/>
  <c r="N76" i="1"/>
  <c r="O76" i="1"/>
  <c r="F74" i="2"/>
  <c r="M76" i="1"/>
  <c r="V75" i="1"/>
  <c r="W75" i="1"/>
  <c r="U75" i="1"/>
  <c r="S75" i="1"/>
  <c r="T75" i="1"/>
  <c r="R75" i="1"/>
  <c r="N75" i="1"/>
  <c r="M75" i="1"/>
  <c r="Z74" i="1"/>
  <c r="AA74" i="1"/>
  <c r="V74" i="1"/>
  <c r="W74" i="1"/>
  <c r="U74" i="1"/>
  <c r="S74" i="1"/>
  <c r="T74" i="1"/>
  <c r="R74" i="1"/>
  <c r="N74" i="1"/>
  <c r="M74" i="1"/>
  <c r="V73" i="1"/>
  <c r="W73" i="1"/>
  <c r="U73" i="1"/>
  <c r="S73" i="1"/>
  <c r="T73" i="1"/>
  <c r="R73" i="1"/>
  <c r="N73" i="1"/>
  <c r="M73" i="1"/>
  <c r="O73" i="1"/>
  <c r="F71" i="2"/>
  <c r="V72" i="1"/>
  <c r="U72" i="1"/>
  <c r="W72" i="1"/>
  <c r="S72" i="1"/>
  <c r="T72" i="1"/>
  <c r="R72" i="1"/>
  <c r="N72" i="1"/>
  <c r="M72" i="1"/>
  <c r="O72" i="1"/>
  <c r="F70" i="2"/>
  <c r="Z71" i="1"/>
  <c r="AA71" i="1"/>
  <c r="V71" i="1"/>
  <c r="U71" i="1"/>
  <c r="W71" i="1"/>
  <c r="S71" i="1"/>
  <c r="T71" i="1"/>
  <c r="R71" i="1"/>
  <c r="N71" i="1"/>
  <c r="M71" i="1"/>
  <c r="O71" i="1"/>
  <c r="F69" i="2"/>
  <c r="V70" i="1"/>
  <c r="W70" i="1"/>
  <c r="U70" i="1"/>
  <c r="S70" i="1"/>
  <c r="R70" i="1"/>
  <c r="T70" i="1"/>
  <c r="N70" i="1"/>
  <c r="M70" i="1"/>
  <c r="O70" i="1"/>
  <c r="F68" i="2"/>
  <c r="V69" i="1"/>
  <c r="W69" i="1"/>
  <c r="U69" i="1"/>
  <c r="S69" i="1"/>
  <c r="R69" i="1"/>
  <c r="T69" i="1"/>
  <c r="N69" i="1"/>
  <c r="M69" i="1"/>
  <c r="O69" i="1"/>
  <c r="F67" i="2"/>
  <c r="V68" i="1"/>
  <c r="W68" i="1"/>
  <c r="U68" i="1"/>
  <c r="S68" i="1"/>
  <c r="T68" i="1"/>
  <c r="R68" i="1"/>
  <c r="N68" i="1"/>
  <c r="M68" i="1"/>
  <c r="V67" i="1"/>
  <c r="W67" i="1"/>
  <c r="U67" i="1"/>
  <c r="S67" i="1"/>
  <c r="T67" i="1"/>
  <c r="R67" i="1"/>
  <c r="N67" i="1"/>
  <c r="M67" i="1"/>
  <c r="V66" i="1"/>
  <c r="W66" i="1"/>
  <c r="U66" i="1"/>
  <c r="S66" i="1"/>
  <c r="R66" i="1"/>
  <c r="T66" i="1"/>
  <c r="N66" i="1"/>
  <c r="M66" i="1"/>
  <c r="O66" i="1"/>
  <c r="F64" i="2"/>
  <c r="V65" i="1"/>
  <c r="W65" i="1"/>
  <c r="U65" i="1"/>
  <c r="S65" i="1"/>
  <c r="T65" i="1"/>
  <c r="R65" i="1"/>
  <c r="N65" i="1"/>
  <c r="M65" i="1"/>
  <c r="O65" i="1"/>
  <c r="F63" i="2"/>
  <c r="Z64" i="1"/>
  <c r="AA64" i="1"/>
  <c r="V64" i="1"/>
  <c r="W64" i="1"/>
  <c r="U64" i="1"/>
  <c r="S64" i="1"/>
  <c r="R64" i="1"/>
  <c r="T64" i="1"/>
  <c r="N64" i="1"/>
  <c r="M64" i="1"/>
  <c r="O64" i="1"/>
  <c r="F62" i="2"/>
  <c r="V63" i="1"/>
  <c r="U63" i="1"/>
  <c r="W63" i="1"/>
  <c r="S63" i="1"/>
  <c r="T63" i="1"/>
  <c r="R63" i="1"/>
  <c r="N63" i="1"/>
  <c r="M63" i="1"/>
  <c r="O63" i="1"/>
  <c r="F61" i="2"/>
  <c r="G61" i="2"/>
  <c r="V62" i="1"/>
  <c r="W62" i="1"/>
  <c r="U62" i="1"/>
  <c r="S62" i="1"/>
  <c r="T62" i="1"/>
  <c r="R62" i="1"/>
  <c r="N62" i="1"/>
  <c r="M62" i="1"/>
  <c r="O62" i="1"/>
  <c r="F60" i="2"/>
  <c r="V61" i="1"/>
  <c r="U61" i="1"/>
  <c r="W61" i="1"/>
  <c r="S61" i="1"/>
  <c r="T61" i="1"/>
  <c r="R61" i="1"/>
  <c r="N61" i="1"/>
  <c r="M61" i="1"/>
  <c r="O61" i="1"/>
  <c r="F59" i="2"/>
  <c r="V60" i="1"/>
  <c r="U60" i="1"/>
  <c r="W60" i="1"/>
  <c r="S60" i="1"/>
  <c r="T60" i="1"/>
  <c r="R60" i="1"/>
  <c r="N60" i="1"/>
  <c r="M60" i="1"/>
  <c r="V59" i="1"/>
  <c r="W59" i="1"/>
  <c r="U59" i="1"/>
  <c r="S59" i="1"/>
  <c r="T59" i="1"/>
  <c r="R59" i="1"/>
  <c r="N59" i="1"/>
  <c r="M59" i="1"/>
  <c r="V58" i="1"/>
  <c r="W58" i="1"/>
  <c r="U58" i="1"/>
  <c r="S58" i="1"/>
  <c r="R58" i="1"/>
  <c r="T58" i="1"/>
  <c r="N58" i="1"/>
  <c r="M58" i="1"/>
  <c r="O58" i="1"/>
  <c r="F56" i="2"/>
  <c r="V57" i="1"/>
  <c r="W57" i="1"/>
  <c r="U57" i="1"/>
  <c r="S57" i="1"/>
  <c r="T57" i="1"/>
  <c r="R57" i="1"/>
  <c r="N57" i="1"/>
  <c r="M57" i="1"/>
  <c r="O57" i="1"/>
  <c r="F55" i="2"/>
  <c r="Z56" i="1"/>
  <c r="AA56" i="1"/>
  <c r="V56" i="1"/>
  <c r="U56" i="1"/>
  <c r="W56" i="1"/>
  <c r="S56" i="1"/>
  <c r="T56" i="1"/>
  <c r="R56" i="1"/>
  <c r="N56" i="1"/>
  <c r="M56" i="1"/>
  <c r="O56" i="1"/>
  <c r="F54" i="2"/>
  <c r="G54" i="2"/>
  <c r="V55" i="1"/>
  <c r="U55" i="1"/>
  <c r="W55" i="1"/>
  <c r="S55" i="1"/>
  <c r="T55" i="1"/>
  <c r="R55" i="1"/>
  <c r="N55" i="1"/>
  <c r="M55" i="1"/>
  <c r="O55" i="1"/>
  <c r="F53" i="2"/>
  <c r="G53" i="2"/>
  <c r="V54" i="1"/>
  <c r="U54" i="1"/>
  <c r="W54" i="1"/>
  <c r="S54" i="1"/>
  <c r="T54" i="1"/>
  <c r="R54" i="1"/>
  <c r="N54" i="1"/>
  <c r="M54" i="1"/>
  <c r="O54" i="1"/>
  <c r="F52" i="2"/>
  <c r="V53" i="1"/>
  <c r="U53" i="1"/>
  <c r="W53" i="1"/>
  <c r="S53" i="1"/>
  <c r="R53" i="1"/>
  <c r="T53" i="1"/>
  <c r="N53" i="1"/>
  <c r="M53" i="1"/>
  <c r="O53" i="1"/>
  <c r="F51" i="2"/>
  <c r="V52" i="1"/>
  <c r="U52" i="1"/>
  <c r="W52" i="1"/>
  <c r="S52" i="1"/>
  <c r="T52" i="1"/>
  <c r="R52" i="1"/>
  <c r="N52" i="1"/>
  <c r="M52" i="1"/>
  <c r="O52" i="1"/>
  <c r="F50" i="2"/>
  <c r="V51" i="1"/>
  <c r="W51" i="1"/>
  <c r="U51" i="1"/>
  <c r="S51" i="1"/>
  <c r="R51" i="1"/>
  <c r="T51" i="1"/>
  <c r="N51" i="1"/>
  <c r="M51" i="1"/>
  <c r="V50" i="1"/>
  <c r="W50" i="1"/>
  <c r="U50" i="1"/>
  <c r="S50" i="1"/>
  <c r="T50" i="1"/>
  <c r="R50" i="1"/>
  <c r="N50" i="1"/>
  <c r="M50" i="1"/>
  <c r="V49" i="1"/>
  <c r="W49" i="1"/>
  <c r="U49" i="1"/>
  <c r="S49" i="1"/>
  <c r="T49" i="1"/>
  <c r="R49" i="1"/>
  <c r="N49" i="1"/>
  <c r="M49" i="1"/>
  <c r="O49" i="1"/>
  <c r="F47" i="2"/>
  <c r="Z48" i="1"/>
  <c r="AA48" i="1"/>
  <c r="V48" i="1"/>
  <c r="W48" i="1"/>
  <c r="U48" i="1"/>
  <c r="S48" i="1"/>
  <c r="T48" i="1"/>
  <c r="R48" i="1"/>
  <c r="N48" i="1"/>
  <c r="M48" i="1"/>
  <c r="O48" i="1"/>
  <c r="F46" i="2"/>
  <c r="V47" i="1"/>
  <c r="U47" i="1"/>
  <c r="W47" i="1"/>
  <c r="S47" i="1"/>
  <c r="T47" i="1"/>
  <c r="R47" i="1"/>
  <c r="N47" i="1"/>
  <c r="M47" i="1"/>
  <c r="O47" i="1"/>
  <c r="F45" i="2"/>
  <c r="V46" i="1"/>
  <c r="W46" i="1"/>
  <c r="U46" i="1"/>
  <c r="S46" i="1"/>
  <c r="T46" i="1"/>
  <c r="R46" i="1"/>
  <c r="N46" i="1"/>
  <c r="M46" i="1"/>
  <c r="O46" i="1"/>
  <c r="F44" i="2"/>
  <c r="V45" i="1"/>
  <c r="W45" i="1"/>
  <c r="U45" i="1"/>
  <c r="S45" i="1"/>
  <c r="T45" i="1"/>
  <c r="R45" i="1"/>
  <c r="N45" i="1"/>
  <c r="M45" i="1"/>
  <c r="O45" i="1"/>
  <c r="F43" i="2"/>
  <c r="V44" i="1"/>
  <c r="W44" i="1"/>
  <c r="U44" i="1"/>
  <c r="S44" i="1"/>
  <c r="R44" i="1"/>
  <c r="T44" i="1"/>
  <c r="N44" i="1"/>
  <c r="M44" i="1"/>
  <c r="W43" i="1"/>
  <c r="V43" i="1"/>
  <c r="U43" i="1"/>
  <c r="S43" i="1"/>
  <c r="R43" i="1"/>
  <c r="T43" i="1"/>
  <c r="N43" i="1"/>
  <c r="M43" i="1"/>
  <c r="Z42" i="1"/>
  <c r="AA42" i="1"/>
  <c r="V42" i="1"/>
  <c r="W42" i="1"/>
  <c r="U42" i="1"/>
  <c r="S42" i="1"/>
  <c r="T42" i="1"/>
  <c r="R42" i="1"/>
  <c r="N42" i="1"/>
  <c r="M42" i="1"/>
  <c r="O42" i="1"/>
  <c r="F40" i="2"/>
  <c r="V41" i="1"/>
  <c r="U41" i="1"/>
  <c r="W41" i="1"/>
  <c r="S41" i="1"/>
  <c r="T41" i="1"/>
  <c r="R41" i="1"/>
  <c r="N41" i="1"/>
  <c r="M41" i="1"/>
  <c r="O41" i="1"/>
  <c r="F39" i="2"/>
  <c r="H39" i="2"/>
  <c r="V40" i="1"/>
  <c r="W40" i="1"/>
  <c r="U40" i="1"/>
  <c r="S40" i="1"/>
  <c r="T40" i="1"/>
  <c r="R40" i="1"/>
  <c r="N40" i="1"/>
  <c r="M40" i="1"/>
  <c r="O40" i="1"/>
  <c r="F38" i="2"/>
  <c r="V39" i="1"/>
  <c r="U39" i="1"/>
  <c r="W39" i="1"/>
  <c r="S39" i="1"/>
  <c r="T39" i="1"/>
  <c r="R39" i="1"/>
  <c r="N39" i="1"/>
  <c r="M39" i="1"/>
  <c r="O39" i="1"/>
  <c r="F37" i="2"/>
  <c r="V38" i="1"/>
  <c r="W38" i="1"/>
  <c r="U38" i="1"/>
  <c r="S38" i="1"/>
  <c r="T38" i="1"/>
  <c r="R38" i="1"/>
  <c r="N38" i="1"/>
  <c r="M38" i="1"/>
  <c r="O38" i="1"/>
  <c r="F36" i="2"/>
  <c r="V37" i="1"/>
  <c r="W37" i="1"/>
  <c r="U37" i="1"/>
  <c r="S37" i="1"/>
  <c r="R37" i="1"/>
  <c r="T37" i="1"/>
  <c r="N37" i="1"/>
  <c r="M37" i="1"/>
  <c r="O37" i="1"/>
  <c r="F35" i="2"/>
  <c r="V36" i="1"/>
  <c r="W36" i="1"/>
  <c r="U36" i="1"/>
  <c r="S36" i="1"/>
  <c r="R36" i="1"/>
  <c r="T36" i="1"/>
  <c r="N36" i="1"/>
  <c r="M36" i="1"/>
  <c r="O36" i="1"/>
  <c r="F34" i="2"/>
  <c r="V35" i="1"/>
  <c r="W35" i="1"/>
  <c r="U35" i="1"/>
  <c r="S35" i="1"/>
  <c r="T35" i="1"/>
  <c r="R35" i="1"/>
  <c r="N35" i="1"/>
  <c r="M35" i="1"/>
  <c r="O35" i="1"/>
  <c r="F33" i="2"/>
  <c r="V34" i="1"/>
  <c r="W34" i="1"/>
  <c r="U34" i="1"/>
  <c r="S34" i="1"/>
  <c r="T34" i="1"/>
  <c r="R34" i="1"/>
  <c r="N34" i="1"/>
  <c r="M34" i="1"/>
  <c r="O34" i="1"/>
  <c r="F32" i="2"/>
  <c r="V33" i="1"/>
  <c r="U33" i="1"/>
  <c r="W33" i="1"/>
  <c r="S33" i="1"/>
  <c r="T33" i="1"/>
  <c r="R33" i="1"/>
  <c r="N33" i="1"/>
  <c r="M33" i="1"/>
  <c r="O33" i="1"/>
  <c r="F31" i="2"/>
  <c r="V32" i="1"/>
  <c r="W32" i="1"/>
  <c r="U32" i="1"/>
  <c r="S32" i="1"/>
  <c r="T32" i="1"/>
  <c r="R32" i="1"/>
  <c r="N32" i="1"/>
  <c r="M32" i="1"/>
  <c r="O32" i="1"/>
  <c r="F30" i="2"/>
  <c r="V31" i="1"/>
  <c r="W31" i="1"/>
  <c r="U31" i="1"/>
  <c r="S31" i="1"/>
  <c r="T31" i="1"/>
  <c r="R31" i="1"/>
  <c r="N31" i="1"/>
  <c r="M31" i="1"/>
  <c r="O31" i="1"/>
  <c r="F29" i="2"/>
  <c r="V30" i="1"/>
  <c r="W30" i="1"/>
  <c r="U30" i="1"/>
  <c r="S30" i="1"/>
  <c r="T30" i="1"/>
  <c r="R30" i="1"/>
  <c r="N30" i="1"/>
  <c r="M30" i="1"/>
  <c r="O30" i="1"/>
  <c r="F28" i="2"/>
  <c r="V29" i="1"/>
  <c r="W29" i="1"/>
  <c r="U29" i="1"/>
  <c r="S29" i="1"/>
  <c r="T29" i="1"/>
  <c r="R29" i="1"/>
  <c r="N29" i="1"/>
  <c r="M29" i="1"/>
  <c r="O29" i="1"/>
  <c r="Z28" i="1"/>
  <c r="AA28" i="1"/>
  <c r="W28" i="1"/>
  <c r="V28" i="1"/>
  <c r="U28" i="1"/>
  <c r="S28" i="1"/>
  <c r="T28" i="1"/>
  <c r="R28" i="1"/>
  <c r="N28" i="1"/>
  <c r="M28" i="1"/>
  <c r="O28" i="1"/>
  <c r="V27" i="1"/>
  <c r="W27" i="1"/>
  <c r="U27" i="1"/>
  <c r="T27" i="1"/>
  <c r="S27" i="1"/>
  <c r="R27" i="1"/>
  <c r="N27" i="1"/>
  <c r="M27" i="1"/>
  <c r="O27" i="1"/>
  <c r="F25" i="2"/>
  <c r="S26" i="1"/>
  <c r="T26" i="1"/>
  <c r="R26" i="1"/>
  <c r="N26" i="1"/>
  <c r="M26" i="1"/>
  <c r="O26" i="1"/>
  <c r="F24" i="2"/>
  <c r="V25" i="1"/>
  <c r="W25" i="1"/>
  <c r="U25" i="1"/>
  <c r="S25" i="1"/>
  <c r="T25" i="1"/>
  <c r="R25" i="1"/>
  <c r="N25" i="1"/>
  <c r="M25" i="1"/>
  <c r="O25" i="1"/>
  <c r="F23" i="2"/>
  <c r="V24" i="1"/>
  <c r="W24" i="1"/>
  <c r="U24" i="1"/>
  <c r="S24" i="1"/>
  <c r="T24" i="1"/>
  <c r="R24" i="1"/>
  <c r="N24" i="1"/>
  <c r="M24" i="1"/>
  <c r="O24" i="1"/>
  <c r="F22" i="2"/>
  <c r="V23" i="1"/>
  <c r="W23" i="1"/>
  <c r="U23" i="1"/>
  <c r="S23" i="1"/>
  <c r="R23" i="1"/>
  <c r="N23" i="1"/>
  <c r="M23" i="1"/>
  <c r="O23" i="1"/>
  <c r="F21" i="2"/>
  <c r="V22" i="1"/>
  <c r="W22" i="1"/>
  <c r="U22" i="1"/>
  <c r="S22" i="1"/>
  <c r="T22" i="1"/>
  <c r="R22" i="1"/>
  <c r="N22" i="1"/>
  <c r="M22" i="1"/>
  <c r="O22" i="1"/>
  <c r="F20" i="2"/>
  <c r="V21" i="1"/>
  <c r="W21" i="1"/>
  <c r="U21" i="1"/>
  <c r="T21" i="1"/>
  <c r="S21" i="1"/>
  <c r="R21" i="1"/>
  <c r="O21" i="1"/>
  <c r="F19" i="2"/>
  <c r="G19" i="2"/>
  <c r="N21" i="1"/>
  <c r="M21" i="1"/>
  <c r="V20" i="1"/>
  <c r="W20" i="1"/>
  <c r="U20" i="1"/>
  <c r="S20" i="1"/>
  <c r="T20" i="1"/>
  <c r="R20" i="1"/>
  <c r="N20" i="1"/>
  <c r="M20" i="1"/>
  <c r="O20" i="1"/>
  <c r="F18" i="2"/>
  <c r="V19" i="1"/>
  <c r="W19" i="1"/>
  <c r="U19" i="1"/>
  <c r="S19" i="1"/>
  <c r="R19" i="1"/>
  <c r="N19" i="1"/>
  <c r="M19" i="1"/>
  <c r="O19" i="1"/>
  <c r="F17" i="2"/>
  <c r="W18" i="1"/>
  <c r="V18" i="1"/>
  <c r="U18" i="1"/>
  <c r="S18" i="1"/>
  <c r="T18" i="1"/>
  <c r="R18" i="1"/>
  <c r="N18" i="1"/>
  <c r="M18" i="1"/>
  <c r="O18" i="1"/>
  <c r="F16" i="2"/>
  <c r="V17" i="1"/>
  <c r="W17" i="1"/>
  <c r="U17" i="1"/>
  <c r="S17" i="1"/>
  <c r="T17" i="1"/>
  <c r="R17" i="1"/>
  <c r="N17" i="1"/>
  <c r="M17" i="1"/>
  <c r="O17" i="1"/>
  <c r="F15" i="2"/>
  <c r="V16" i="1"/>
  <c r="W16" i="1"/>
  <c r="U16" i="1"/>
  <c r="S16" i="1"/>
  <c r="T16" i="1"/>
  <c r="R16" i="1"/>
  <c r="N16" i="1"/>
  <c r="M16" i="1"/>
  <c r="O16" i="1"/>
  <c r="F14" i="2"/>
  <c r="V15" i="1"/>
  <c r="W15" i="1"/>
  <c r="U15" i="1"/>
  <c r="S15" i="1"/>
  <c r="T15" i="1"/>
  <c r="R15" i="1"/>
  <c r="N15" i="1"/>
  <c r="M15" i="1"/>
  <c r="Z14" i="1"/>
  <c r="AA14" i="1"/>
  <c r="V14" i="1"/>
  <c r="U14" i="1"/>
  <c r="W14" i="1"/>
  <c r="S14" i="1"/>
  <c r="T14" i="1"/>
  <c r="R14" i="1"/>
  <c r="N14" i="1"/>
  <c r="M14" i="1"/>
  <c r="V13" i="1"/>
  <c r="W13" i="1"/>
  <c r="U13" i="1"/>
  <c r="S13" i="1"/>
  <c r="R13" i="1"/>
  <c r="N13" i="1"/>
  <c r="M13" i="1"/>
  <c r="O13" i="1"/>
  <c r="F11" i="2"/>
  <c r="V12" i="1"/>
  <c r="U12" i="1"/>
  <c r="W12" i="1"/>
  <c r="S12" i="1"/>
  <c r="T12" i="1"/>
  <c r="R12" i="1"/>
  <c r="N12" i="1"/>
  <c r="M12" i="1"/>
  <c r="Z11" i="1"/>
  <c r="AA11" i="1"/>
  <c r="V11" i="1"/>
  <c r="W11" i="1"/>
  <c r="U11" i="1"/>
  <c r="S11" i="1"/>
  <c r="T11" i="1"/>
  <c r="R11" i="1"/>
  <c r="N11" i="1"/>
  <c r="M11" i="1"/>
  <c r="V10" i="1"/>
  <c r="W10" i="1"/>
  <c r="U10" i="1"/>
  <c r="S10" i="1"/>
  <c r="T10" i="1"/>
  <c r="R10" i="1"/>
  <c r="N10" i="1"/>
  <c r="M10" i="1"/>
  <c r="O10" i="1"/>
  <c r="F8" i="2"/>
  <c r="V9" i="1"/>
  <c r="W9" i="1"/>
  <c r="U9" i="1"/>
  <c r="S9" i="1"/>
  <c r="T9" i="1"/>
  <c r="R9" i="1"/>
  <c r="N9" i="1"/>
  <c r="M9" i="1"/>
  <c r="O9" i="1"/>
  <c r="F7" i="2"/>
  <c r="V8" i="1"/>
  <c r="W8" i="1"/>
  <c r="U8" i="1"/>
  <c r="S8" i="1"/>
  <c r="T8" i="1"/>
  <c r="R8" i="1"/>
  <c r="N8" i="1"/>
  <c r="M8" i="1"/>
  <c r="O8" i="1"/>
  <c r="F6" i="2"/>
  <c r="V7" i="1"/>
  <c r="W7" i="1"/>
  <c r="U7" i="1"/>
  <c r="S7" i="1"/>
  <c r="T7" i="1"/>
  <c r="R7" i="1"/>
  <c r="N7" i="1"/>
  <c r="M7" i="1"/>
  <c r="O7" i="1"/>
  <c r="F5" i="2"/>
  <c r="V6" i="1"/>
  <c r="W6" i="1"/>
  <c r="U6" i="1"/>
  <c r="S6" i="1"/>
  <c r="T6" i="1"/>
  <c r="R6" i="1"/>
  <c r="N6" i="1"/>
  <c r="M6" i="1"/>
  <c r="O6" i="1"/>
  <c r="F4" i="2"/>
  <c r="V5" i="1"/>
  <c r="W5" i="1"/>
  <c r="U5" i="1"/>
  <c r="S5" i="1"/>
  <c r="T5" i="1"/>
  <c r="R5" i="1"/>
  <c r="N5" i="1"/>
  <c r="M5" i="1"/>
  <c r="O5" i="1"/>
  <c r="F3" i="2"/>
  <c r="D61" i="2"/>
  <c r="T84" i="1"/>
  <c r="T81" i="1"/>
  <c r="T79" i="1"/>
  <c r="T76" i="1"/>
  <c r="T23" i="1"/>
  <c r="T19" i="1"/>
  <c r="T13" i="1"/>
  <c r="G93" i="2"/>
  <c r="H93" i="2"/>
  <c r="D93" i="2"/>
  <c r="G92" i="2"/>
  <c r="D92" i="2"/>
  <c r="H92" i="2"/>
  <c r="D91" i="2"/>
  <c r="H91" i="2"/>
  <c r="G91" i="2"/>
  <c r="H88" i="2"/>
  <c r="G88" i="2"/>
  <c r="D88" i="2"/>
  <c r="D85" i="2"/>
  <c r="H85" i="2"/>
  <c r="G85" i="2"/>
  <c r="H84" i="2"/>
  <c r="G84" i="2"/>
  <c r="D84" i="2"/>
  <c r="G83" i="2"/>
  <c r="D83" i="2"/>
  <c r="H83" i="2"/>
  <c r="G82" i="2"/>
  <c r="D82" i="2"/>
  <c r="H82" i="2"/>
  <c r="H81" i="2"/>
  <c r="G81" i="2"/>
  <c r="D81" i="2"/>
  <c r="H80" i="2"/>
  <c r="G80" i="2"/>
  <c r="D80" i="2"/>
  <c r="G79" i="2"/>
  <c r="D79" i="2"/>
  <c r="H79" i="2"/>
  <c r="D78" i="2"/>
  <c r="H78" i="2"/>
  <c r="G78" i="2"/>
  <c r="H77" i="2"/>
  <c r="G77" i="2"/>
  <c r="D77" i="2"/>
  <c r="D74" i="2"/>
  <c r="G74" i="2"/>
  <c r="H74" i="2"/>
  <c r="D71" i="2"/>
  <c r="G71" i="2"/>
  <c r="H71" i="2"/>
  <c r="G70" i="2"/>
  <c r="D70" i="2"/>
  <c r="H70" i="2"/>
  <c r="G69" i="2"/>
  <c r="H69" i="2"/>
  <c r="D69" i="2"/>
  <c r="H68" i="2"/>
  <c r="G68" i="2"/>
  <c r="D68" i="2"/>
  <c r="G67" i="2"/>
  <c r="D67" i="2"/>
  <c r="H67" i="2"/>
  <c r="D64" i="2"/>
  <c r="H64" i="2"/>
  <c r="G64" i="2"/>
  <c r="G63" i="2"/>
  <c r="D63" i="2"/>
  <c r="H63" i="2"/>
  <c r="G62" i="2"/>
  <c r="D62" i="2"/>
  <c r="H62" i="2"/>
  <c r="H61" i="2"/>
  <c r="G60" i="2"/>
  <c r="D60" i="2"/>
  <c r="H60" i="2"/>
  <c r="H59" i="2"/>
  <c r="D59" i="2"/>
  <c r="G59" i="2"/>
  <c r="H56" i="2"/>
  <c r="D56" i="2"/>
  <c r="G56" i="2"/>
  <c r="D55" i="2"/>
  <c r="G55" i="2"/>
  <c r="H55" i="2"/>
  <c r="H52" i="2"/>
  <c r="G52" i="2"/>
  <c r="D52" i="2"/>
  <c r="D51" i="2"/>
  <c r="H51" i="2"/>
  <c r="G51" i="2"/>
  <c r="D50" i="2"/>
  <c r="H50" i="2"/>
  <c r="G50" i="2"/>
  <c r="H47" i="2"/>
  <c r="G47" i="2"/>
  <c r="D47" i="2"/>
  <c r="H46" i="2"/>
  <c r="G46" i="2"/>
  <c r="D46" i="2"/>
  <c r="H45" i="2"/>
  <c r="G45" i="2"/>
  <c r="D45" i="2"/>
  <c r="G44" i="2"/>
  <c r="H44" i="2"/>
  <c r="D44" i="2"/>
  <c r="G43" i="2"/>
  <c r="H43" i="2"/>
  <c r="D43" i="2"/>
  <c r="H40" i="2"/>
  <c r="D40" i="2"/>
  <c r="G40" i="2"/>
  <c r="D39" i="2"/>
  <c r="G39" i="2"/>
  <c r="D38" i="2"/>
  <c r="G38" i="2"/>
  <c r="H38" i="2"/>
  <c r="H37" i="2"/>
  <c r="G37" i="2"/>
  <c r="D37" i="2"/>
  <c r="G36" i="2"/>
  <c r="H36" i="2"/>
  <c r="D36" i="2"/>
  <c r="H35" i="2"/>
  <c r="G35" i="2"/>
  <c r="D35" i="2"/>
  <c r="G34" i="2"/>
  <c r="D34" i="2"/>
  <c r="H34" i="2"/>
  <c r="G33" i="2"/>
  <c r="H33" i="2"/>
  <c r="D33" i="2"/>
  <c r="D32" i="2"/>
  <c r="H32" i="2"/>
  <c r="G32" i="2"/>
  <c r="H31" i="2"/>
  <c r="G31" i="2"/>
  <c r="D31" i="2"/>
  <c r="H30" i="2"/>
  <c r="G30" i="2"/>
  <c r="D30" i="2"/>
  <c r="H29" i="2"/>
  <c r="G29" i="2"/>
  <c r="D29" i="2"/>
  <c r="H28" i="2"/>
  <c r="D28" i="2"/>
  <c r="G28" i="2"/>
  <c r="G25" i="2"/>
  <c r="H25" i="2"/>
  <c r="D25" i="2"/>
  <c r="H24" i="2"/>
  <c r="G24" i="2"/>
  <c r="D24" i="2"/>
  <c r="H23" i="2"/>
  <c r="G23" i="2"/>
  <c r="D23" i="2"/>
  <c r="H22" i="2"/>
  <c r="D22" i="2"/>
  <c r="G22" i="2"/>
  <c r="H21" i="2"/>
  <c r="D21" i="2"/>
  <c r="G21" i="2"/>
  <c r="H20" i="2"/>
  <c r="G20" i="2"/>
  <c r="D20" i="2"/>
  <c r="D19" i="2"/>
  <c r="H19" i="2"/>
  <c r="H18" i="2"/>
  <c r="G18" i="2"/>
  <c r="D18" i="2"/>
  <c r="D17" i="2"/>
  <c r="H17" i="2"/>
  <c r="G17" i="2"/>
  <c r="H16" i="2"/>
  <c r="G16" i="2"/>
  <c r="D16" i="2"/>
  <c r="H15" i="2"/>
  <c r="D15" i="2"/>
  <c r="G15" i="2"/>
  <c r="H14" i="2"/>
  <c r="G14" i="2"/>
  <c r="D14" i="2"/>
  <c r="D11" i="2"/>
  <c r="H11" i="2"/>
  <c r="G11" i="2"/>
  <c r="H8" i="2"/>
  <c r="G8" i="2"/>
  <c r="D8" i="2"/>
  <c r="G7" i="2"/>
  <c r="H7" i="2"/>
  <c r="D7" i="2"/>
  <c r="G6" i="2"/>
  <c r="D6" i="2"/>
  <c r="H6" i="2"/>
  <c r="H5" i="2"/>
  <c r="G5" i="2"/>
  <c r="D5" i="2"/>
  <c r="G4" i="2"/>
  <c r="D4" i="2"/>
  <c r="H4" i="2"/>
  <c r="H3" i="2"/>
  <c r="D3" i="2"/>
  <c r="G3" i="2"/>
  <c r="D98" i="2"/>
  <c r="K103" i="1"/>
</calcChain>
</file>

<file path=xl/sharedStrings.xml><?xml version="1.0" encoding="utf-8"?>
<sst xmlns="http://schemas.openxmlformats.org/spreadsheetml/2006/main" count="580" uniqueCount="308">
  <si>
    <t xml:space="preserve"> </t>
  </si>
  <si>
    <t>DAILY PRICE LIST
The Exchange 55 Westlands Road
P.O. BOX 43633, NAIROBI. TEL: 2831000  FAX: 224200
       E-MAIL: info@nse.co.ke: Website: www.nse.co.ke</t>
  </si>
  <si>
    <t>52WK HIGH</t>
  </si>
  <si>
    <t>52WK LOW</t>
  </si>
  <si>
    <t xml:space="preserve"> ISIN </t>
  </si>
  <si>
    <t xml:space="preserve"> TRADING</t>
  </si>
  <si>
    <t>HIGH</t>
  </si>
  <si>
    <t>LOW</t>
  </si>
  <si>
    <t>VWAP</t>
  </si>
  <si>
    <t>PREVIOUS</t>
  </si>
  <si>
    <t>AGRICULTURAL</t>
  </si>
  <si>
    <t xml:space="preserve"> CODE</t>
  </si>
  <si>
    <t xml:space="preserve"> STATUS</t>
  </si>
  <si>
    <t>BID</t>
  </si>
  <si>
    <t>ASK</t>
  </si>
  <si>
    <t>PRICE</t>
  </si>
  <si>
    <t>VOLUME</t>
  </si>
  <si>
    <t>PP</t>
  </si>
  <si>
    <t>KK</t>
  </si>
  <si>
    <t>H</t>
  </si>
  <si>
    <t>N.H</t>
  </si>
  <si>
    <t>L</t>
  </si>
  <si>
    <t>N.L</t>
  </si>
  <si>
    <r>
      <t xml:space="preserve"> Eaagads Ltd Ord 1.25 </t>
    </r>
    <r>
      <rPr>
        <b/>
        <i/>
        <sz val="10"/>
        <color indexed="8"/>
        <rFont val="Comic Sans MS"/>
        <family val="4"/>
      </rPr>
      <t>SME</t>
    </r>
  </si>
  <si>
    <t>KE0000000208</t>
  </si>
  <si>
    <t xml:space="preserve">Kakuzi Plc Ord.5.00 </t>
  </si>
  <si>
    <t>KE0000000281</t>
  </si>
  <si>
    <r>
      <t>Kapchorua Tea Kenya Plc Ord 5.00</t>
    </r>
    <r>
      <rPr>
        <b/>
        <i/>
        <sz val="10"/>
        <color indexed="8"/>
        <rFont val="Comic Sans MS"/>
        <family val="4"/>
      </rPr>
      <t>SME</t>
    </r>
  </si>
  <si>
    <t>KE4000001760</t>
  </si>
  <si>
    <t>xd</t>
  </si>
  <si>
    <r>
      <t>The Limuru Tea Co. Plc Ord 10.00</t>
    </r>
    <r>
      <rPr>
        <b/>
        <i/>
        <sz val="10"/>
        <color indexed="8"/>
        <rFont val="Comic Sans MS"/>
        <family val="4"/>
      </rPr>
      <t>SME</t>
    </r>
  </si>
  <si>
    <t>KE0000000356</t>
  </si>
  <si>
    <t>Sasini Plc Ord 1.00</t>
  </si>
  <si>
    <t>KE0000000430</t>
  </si>
  <si>
    <t>Williamson Tea Kenya Plc Ord 5.00</t>
  </si>
  <si>
    <t>KE0000000505</t>
  </si>
  <si>
    <t>AUTOMOBILES &amp; ACCESSORIES</t>
  </si>
  <si>
    <t xml:space="preserve"> Car &amp; General (K) Ltd Ord 5.00 </t>
  </si>
  <si>
    <t>KE0000000109</t>
  </si>
  <si>
    <t>cd</t>
  </si>
  <si>
    <t>BANKING</t>
  </si>
  <si>
    <t xml:space="preserve"> ABSA Bank Kenya Plc Ord 0.50</t>
  </si>
  <si>
    <t>KE0000000067</t>
  </si>
  <si>
    <t xml:space="preserve"> BK Group Plc Ord 0.80</t>
  </si>
  <si>
    <t>KE5000008986</t>
  </si>
  <si>
    <t xml:space="preserve"> Diamond Trust Bank Kenya Ltd Ord 4.00</t>
  </si>
  <si>
    <t>KE0000000158</t>
  </si>
  <si>
    <t xml:space="preserve"> Equity Group Holdings Plc Ord 0.50</t>
  </si>
  <si>
    <t>KE0000000554</t>
  </si>
  <si>
    <t xml:space="preserve"> Family Bank Limited Ord 1.00</t>
  </si>
  <si>
    <t>KE9930006987</t>
  </si>
  <si>
    <t xml:space="preserve"> HFCB Group Plc Ord 5.00</t>
  </si>
  <si>
    <t>KE0000000240</t>
  </si>
  <si>
    <t xml:space="preserve"> I&amp;M Group Plc Ord 1.00 </t>
  </si>
  <si>
    <t>KE0000000125</t>
  </si>
  <si>
    <t xml:space="preserve"> KCB Group Plc Ord 1.00 </t>
  </si>
  <si>
    <t>KE0000000315</t>
  </si>
  <si>
    <t xml:space="preserve"> NCBA Group Plc Ord 5.00</t>
  </si>
  <si>
    <t>KE0000000406</t>
  </si>
  <si>
    <t xml:space="preserve"> Stanbic Holdings Plc ord.5.00</t>
  </si>
  <si>
    <t>KE0000000091</t>
  </si>
  <si>
    <t xml:space="preserve"> Standard Chartered Bank Kenya Ltd Ord 5.00</t>
  </si>
  <si>
    <t>KE0000000448</t>
  </si>
  <si>
    <t xml:space="preserve"> The Co-operative Bank of Kenya Ltd Ord 1.00</t>
  </si>
  <si>
    <t>KE1000001568</t>
  </si>
  <si>
    <t>COMMERCIAL AND SERVICES</t>
  </si>
  <si>
    <t>Deacons (East Africa) Plc Ord 2.50</t>
  </si>
  <si>
    <t>KE5000005438</t>
  </si>
  <si>
    <t>S</t>
  </si>
  <si>
    <r>
      <t xml:space="preserve"> Eveready East Africa Ltd Ord.1.00</t>
    </r>
    <r>
      <rPr>
        <b/>
        <i/>
        <sz val="10"/>
        <color indexed="8"/>
        <rFont val="Comic Sans MS"/>
        <family val="4"/>
      </rPr>
      <t>SME</t>
    </r>
  </si>
  <si>
    <t>KE0000000588</t>
  </si>
  <si>
    <t xml:space="preserve"> Express Kenya Plc Ord 5.00</t>
  </si>
  <si>
    <t>KE0000000224</t>
  </si>
  <si>
    <r>
      <t xml:space="preserve"> Homeboyz Entertainment Plc 0.50</t>
    </r>
    <r>
      <rPr>
        <b/>
        <i/>
        <sz val="10"/>
        <color indexed="8"/>
        <rFont val="Comic Sans MS"/>
        <family val="4"/>
      </rPr>
      <t>SME</t>
    </r>
  </si>
  <si>
    <t>KE7000001433</t>
  </si>
  <si>
    <t xml:space="preserve"> Kenya Airways Ltd Ord 1.00</t>
  </si>
  <si>
    <t>KE0000000307</t>
  </si>
  <si>
    <t xml:space="preserve"> Longhorn Publishers Plc Ord 1.00</t>
  </si>
  <si>
    <t>KE2000002275</t>
  </si>
  <si>
    <r>
      <t xml:space="preserve"> Nairobi Business Ventures Plc Ord. 0.50</t>
    </r>
    <r>
      <rPr>
        <b/>
        <i/>
        <sz val="10"/>
        <color indexed="8"/>
        <rFont val="Comic Sans MS"/>
        <family val="4"/>
      </rPr>
      <t>SME</t>
    </r>
  </si>
  <si>
    <t>KE5000000090</t>
  </si>
  <si>
    <t xml:space="preserve"> Nation Media Group Plc Ord. 2.50</t>
  </si>
  <si>
    <t>KE0000000380</t>
  </si>
  <si>
    <t xml:space="preserve"> Sameer Africa Plc Ord 5.00</t>
  </si>
  <si>
    <t>KE0000000232</t>
  </si>
  <si>
    <t xml:space="preserve"> Standard Group Plc Ord 5.00</t>
  </si>
  <si>
    <t>KE0000000455</t>
  </si>
  <si>
    <t xml:space="preserve"> TPS Eastern Africa  Ltd Ord 1.00 </t>
  </si>
  <si>
    <t>KE0000000539</t>
  </si>
  <si>
    <t xml:space="preserve"> Uchumi Supermarket Plc Ord 5.00</t>
  </si>
  <si>
    <t>KE0000000489</t>
  </si>
  <si>
    <t xml:space="preserve"> WPP Scangroup Plc Ord 1.00</t>
  </si>
  <si>
    <t>KE0000000562</t>
  </si>
  <si>
    <t>CONSTRUCTION &amp; ALLIED</t>
  </si>
  <si>
    <t xml:space="preserve">  </t>
  </si>
  <si>
    <t xml:space="preserve"> ARM Cement Plc Ord 1.00</t>
  </si>
  <si>
    <t>KE0000000034</t>
  </si>
  <si>
    <t xml:space="preserve"> Bamburi Cement Plc Ord 5.00</t>
  </si>
  <si>
    <t>KE0000000059</t>
  </si>
  <si>
    <t xml:space="preserve"> Crown Paints Kenya Plc Ord 5.00</t>
  </si>
  <si>
    <t>KE0000000141</t>
  </si>
  <si>
    <t xml:space="preserve"> E.A.Cables Ltd Ord 0.50</t>
  </si>
  <si>
    <t>KE0000000174</t>
  </si>
  <si>
    <t xml:space="preserve"> E.A.Portland Cement Co. Ltd Ord 5.00</t>
  </si>
  <si>
    <t>KE0000000190</t>
  </si>
  <si>
    <t>ENERGY &amp; PETROLEUM</t>
  </si>
  <si>
    <t xml:space="preserve"> KenGen Co. Plc Ord. 2.50</t>
  </si>
  <si>
    <t>KE0000000547</t>
  </si>
  <si>
    <t xml:space="preserve"> Kenya Pipeline Company Plc Ord 0.02</t>
  </si>
  <si>
    <t>KE9900006215</t>
  </si>
  <si>
    <t xml:space="preserve"> Kenya Power &amp; Lighting  Co Plc Ord 2.50</t>
  </si>
  <si>
    <t>KE0000000349</t>
  </si>
  <si>
    <t xml:space="preserve"> Kenya Power &amp; Lighting Plc 4% Pref 20.00</t>
  </si>
  <si>
    <t>KE4000001877</t>
  </si>
  <si>
    <t xml:space="preserve"> Kenya Power &amp; Lighting Plc 7% Pref 20.00</t>
  </si>
  <si>
    <t>KE4000002982</t>
  </si>
  <si>
    <t xml:space="preserve"> TotalEnergies Marketing Kenya Plc Ord 5.00</t>
  </si>
  <si>
    <t>KE0000000463</t>
  </si>
  <si>
    <t xml:space="preserve"> Umeme Ltd Ord 0.50</t>
  </si>
  <si>
    <t>UG0000001145</t>
  </si>
  <si>
    <t>INSURANCE</t>
  </si>
  <si>
    <t xml:space="preserve"> Britam Holdings Plc Ord 0.10</t>
  </si>
  <si>
    <t>KE2000002192</t>
  </si>
  <si>
    <t xml:space="preserve"> CIC Insurance Group Plc Ord.1.00</t>
  </si>
  <si>
    <t>KE2000002317</t>
  </si>
  <si>
    <t xml:space="preserve"> Jubilee Holdings Ltd Ord 5.00</t>
  </si>
  <si>
    <t>KE0000000273</t>
  </si>
  <si>
    <t xml:space="preserve"> Kenya Re Insurance Corporation Ltd Ord 2.50</t>
  </si>
  <si>
    <t>KE0000000604</t>
  </si>
  <si>
    <t xml:space="preserve"> Liberty Kenya Holdings Ltd Ord. 1.00</t>
  </si>
  <si>
    <t>KE2000002168</t>
  </si>
  <si>
    <t xml:space="preserve"> Sanlam Allianz Holdings Kenya Plc Ord 5.00</t>
  </si>
  <si>
    <t>KE0000000414</t>
  </si>
  <si>
    <t>INVESTMENT</t>
  </si>
  <si>
    <t xml:space="preserve"> Centum Investment Co Plc Ord 0.50</t>
  </si>
  <si>
    <t>KE0000000265</t>
  </si>
  <si>
    <t xml:space="preserve"> Home Afrika Ltd Ord 1.00</t>
  </si>
  <si>
    <t>KE2000007258</t>
  </si>
  <si>
    <r>
      <t xml:space="preserve"> Kurwitu Ventures Ltd Ord 100.00</t>
    </r>
    <r>
      <rPr>
        <b/>
        <i/>
        <sz val="10"/>
        <rFont val="Comic Sans MS"/>
        <family val="4"/>
      </rPr>
      <t>SME</t>
    </r>
  </si>
  <si>
    <t>KE4000001216</t>
  </si>
  <si>
    <t xml:space="preserve"> Olympia Capital Holdings Ltd Ord 5.00</t>
  </si>
  <si>
    <t>KE0000000166</t>
  </si>
  <si>
    <t>Trans-Century Plc Ord 0.50</t>
  </si>
  <si>
    <t>KE2000002184</t>
  </si>
  <si>
    <t>INVESTMENT SERVICES</t>
  </si>
  <si>
    <t xml:space="preserve"> Nairobi Securities Exchange Plc Ord 4.00 </t>
  </si>
  <si>
    <t>KE3000009674</t>
  </si>
  <si>
    <t>MANUFACTURING &amp; ALLIED</t>
  </si>
  <si>
    <t xml:space="preserve"> B.O.C Kenya Plc Ord 5.00 </t>
  </si>
  <si>
    <t>KE0000000042</t>
  </si>
  <si>
    <t xml:space="preserve"> British American Tobacco Kenya Plc Ord 10.00 </t>
  </si>
  <si>
    <t>KE0000000075</t>
  </si>
  <si>
    <t xml:space="preserve"> Carbacid Investments Plc Ord 1.00</t>
  </si>
  <si>
    <t>KE0000000117</t>
  </si>
  <si>
    <t xml:space="preserve"> East African Breweries Plc Ord 2.00 </t>
  </si>
  <si>
    <t>KE0000000216</t>
  </si>
  <si>
    <t xml:space="preserve"> Flame Tree Group Holdings Ltd Ord 0.825</t>
  </si>
  <si>
    <t>KE4000001323</t>
  </si>
  <si>
    <r>
      <t xml:space="preserve"> Africa Mega Agricorp Plc Ord 5.00</t>
    </r>
    <r>
      <rPr>
        <b/>
        <i/>
        <sz val="10"/>
        <color indexed="8"/>
        <rFont val="Comic Sans MS"/>
        <family val="4"/>
      </rPr>
      <t>SME</t>
    </r>
  </si>
  <si>
    <t>KE0000000331</t>
  </si>
  <si>
    <t xml:space="preserve"> Mumias Sugar Co. Ltd Ord 2.00</t>
  </si>
  <si>
    <t>KE0000000372</t>
  </si>
  <si>
    <t xml:space="preserve"> Unga Group Ltd Ord 5.00</t>
  </si>
  <si>
    <t>KE0000000497</t>
  </si>
  <si>
    <r>
      <t xml:space="preserve"> Shri Krishana Overseas Plc 0.20</t>
    </r>
    <r>
      <rPr>
        <b/>
        <i/>
        <sz val="10"/>
        <color indexed="8"/>
        <rFont val="Comic Sans MS"/>
        <family val="4"/>
      </rPr>
      <t>SME</t>
    </r>
  </si>
  <si>
    <t>KE9900001216</t>
  </si>
  <si>
    <t xml:space="preserve">TELECOMMUNICATION </t>
  </si>
  <si>
    <t xml:space="preserve"> Safaricom Plc Ord 0.05 </t>
  </si>
  <si>
    <t>KE1000001402</t>
  </si>
  <si>
    <t>REAL ESTATE INVESTMENT TRUST</t>
  </si>
  <si>
    <t xml:space="preserve">LAPTRUST IMARA I-REIT NAV.16.95 </t>
  </si>
  <si>
    <t>KE9100008870</t>
  </si>
  <si>
    <t>ALP Industrial REIT NAV USD 1.0431</t>
  </si>
  <si>
    <t>KE9900006322</t>
  </si>
  <si>
    <t>TRIFIC Green USD I-REIT NAV USD 1.00</t>
  </si>
  <si>
    <t>KE9930007092</t>
  </si>
  <si>
    <t>EXCHANGE TRADED FUNDS</t>
  </si>
  <si>
    <t>ABSA New Gold ETF</t>
  </si>
  <si>
    <t>ZAE000060067</t>
  </si>
  <si>
    <t>Satrix MSCI World Feeder ETF</t>
  </si>
  <si>
    <t>ZAE000246104</t>
  </si>
  <si>
    <t xml:space="preserve">NSE ALL SHARE INDEX (NASI) - 01st Jan 2008 = 100 </t>
  </si>
  <si>
    <t xml:space="preserve">          Market Capitalization in Kes. Billion</t>
  </si>
  <si>
    <t>Today</t>
  </si>
  <si>
    <t>Previous</t>
  </si>
  <si>
    <t>NSE 20-SHARE INDEX - (1966 = 100 )</t>
  </si>
  <si>
    <t xml:space="preserve">NSE 25-SHARE INDEX - (01st Sep 2015 = 4101.67) </t>
  </si>
  <si>
    <t xml:space="preserve">                  Number of Shares Traded</t>
  </si>
  <si>
    <t xml:space="preserve">NSE 10-SHARE INDEX - (30th Aug 2023 = 1000) </t>
  </si>
  <si>
    <t xml:space="preserve">BANKING SECTOR INDEX - (1st Sep 2025 = 173.64) </t>
  </si>
  <si>
    <t xml:space="preserve">                      Equity Turnover in Kes.</t>
  </si>
  <si>
    <t>CORPORATE ACTIONS:</t>
  </si>
  <si>
    <t>KCB Group Plc Ord 1.00; KE0000000315;announced an Interim Dividend of Kes.3.00 on 13-Aug-2026; Books Closure; 02-Sep-2026; Payment date; 10-Nov-2026</t>
  </si>
  <si>
    <t xml:space="preserve">                        Total Deals (Equity)</t>
  </si>
  <si>
    <t>East African Breweries Plc Ord 2.00; KE0000000216; announced a Final Dividend of Kes.8.70 on 06-Aug-2026; Books Closure; 19-Oct-2026; Payment date; 31-Oct-2026</t>
  </si>
  <si>
    <t>LAPTRUST IMARA I-REIT NAV.16.95; KE9100008870; announced an Interim distribution of Kes.0.13 on 31-Jul-2026; Books Closure; 14-Aug-2026; Payment date;30-Sep-2026</t>
  </si>
  <si>
    <t>British American Tobacco Kenya Plc Ord 10.00; KE0000000075; announced an Interim Dividend of Kes.10.00 on 24-Jul-2026; Books Closure; 28-Aug-2026; Payment date; 25-Sep-2026</t>
  </si>
  <si>
    <t>Car &amp; General (K) Ltd Ord 5.00; KE0000000109;  announced an Interim Dividend of Kes.1.00 on 13-Aug-2026; Books Closure; 03-Sep-2026; Payment date; 10-Sep-2026</t>
  </si>
  <si>
    <t xml:space="preserve">                      I-REIT  Turnover in Kes.</t>
  </si>
  <si>
    <t>Safaricom Plc Ord 0.05; KE1000001402; announced a Final Dividend of Kes.1.15 on 07-May-2026;  Books Closure; 04-Aug-2026; Payment date;04-Sep-2026</t>
  </si>
  <si>
    <t>Williamson Tea Kenya Plc Ord 5.00; KE0000000505;announced a First &amp; Final Dividend of Kes.15.00 on 26-Jun-2026; Books Closure; 31-Jul-2026; Payment date; 02-Sep-2026</t>
  </si>
  <si>
    <t>Kapchorua Tea Kenya Plc Ord 5.00SME;KE4000001760;announced a First &amp; Final Dividend of Kes.30.00 on 26-Jun-2026; Books Closure; 31-Jul-2026; Payment date; 02-Sep-2026</t>
  </si>
  <si>
    <t>Crown Paints Kenya Plc Ord 5.00; KE0000000141; announced a First &amp; Final Dividend of Kes.3.00 on 25-May-2026; Books Closure; 26-Jun-2026; Payment date;31-Aug-2026</t>
  </si>
  <si>
    <t xml:space="preserve">                   I-REIT in Units - Total Deals</t>
  </si>
  <si>
    <t>Liberty Kenya Holdings Ltd Ord. 1.00; KE2000002168; announced a Final Dividend of Kes.0.50 on 11-Mar-2026; Books Closure; 15-Jun-2026; Payment date; 30-Aug-2026</t>
  </si>
  <si>
    <t>E.A.Portland Cement Co. Ltd Ord 5.00;KE0000000190;announced a Final Dividend of Kes.1.25 on 22-Jun-2026;  Books Closure; SUBJECT TO APPROVAL; Payment date;SUBJECT TO APPROVAL</t>
  </si>
  <si>
    <t>Centum Investment Co Plc Ord 0.50; KE0000000265; announced a Final &amp; Special Dividend of Kes.0.42 and Kes.0.36 respectively on 31-Jul-2026; Books Closure; SUBJECT TO APPROVAL; Payment date; SUBJECT TO APPROVAL</t>
  </si>
  <si>
    <t xml:space="preserve">                   ETF  Turnover in Kes.</t>
  </si>
  <si>
    <t xml:space="preserve">                  ETF in Units - Total Deals</t>
  </si>
  <si>
    <r>
      <t>i :</t>
    </r>
    <r>
      <rPr>
        <sz val="14"/>
        <rFont val="Arial"/>
        <family val="2"/>
      </rPr>
      <t xml:space="preserve"> Represents Quotes Reported by Market Maker</t>
    </r>
  </si>
  <si>
    <t>Exchange Rate : CBK</t>
  </si>
  <si>
    <t>ALP VWAP=currency is USD</t>
  </si>
  <si>
    <r>
      <t>VWAP:</t>
    </r>
    <r>
      <rPr>
        <sz val="14"/>
        <rFont val="Arial"/>
        <family val="2"/>
      </rPr>
      <t xml:space="preserve"> The volume weighted average price ( turnover per counter divided by shares traded )</t>
    </r>
  </si>
  <si>
    <r>
      <t>Low:</t>
    </r>
    <r>
      <rPr>
        <sz val="14"/>
        <rFont val="Arial"/>
        <family val="2"/>
      </rPr>
      <t xml:space="preserve"> The lowest transaction price in the last 12 months</t>
    </r>
  </si>
  <si>
    <r>
      <t>High:</t>
    </r>
    <r>
      <rPr>
        <sz val="14"/>
        <rFont val="Arial"/>
        <family val="2"/>
      </rPr>
      <t xml:space="preserve"> The highest transaction price in the last 12 months</t>
    </r>
  </si>
  <si>
    <r>
      <t xml:space="preserve">Scrip Dividend: </t>
    </r>
    <r>
      <rPr>
        <sz val="14"/>
        <rFont val="Arial"/>
        <family val="2"/>
      </rPr>
      <t>refers to new shares, which a shareholder elects to receive in lieu of a cash dividend where the shareholder is given the right to make such an election</t>
    </r>
  </si>
  <si>
    <r>
      <t xml:space="preserve">The Trades &amp; Turnover </t>
    </r>
    <r>
      <rPr>
        <sz val="14"/>
        <rFont val="Arial"/>
        <family val="2"/>
      </rPr>
      <t xml:space="preserve">excludes REIT and ETF </t>
    </r>
  </si>
  <si>
    <r>
      <t xml:space="preserve">The Volume </t>
    </r>
    <r>
      <rPr>
        <sz val="14"/>
        <rFont val="Arial"/>
        <family val="2"/>
      </rPr>
      <t>excludes Odd lots</t>
    </r>
  </si>
  <si>
    <r>
      <t>SME-</t>
    </r>
    <r>
      <rPr>
        <sz val="14"/>
        <rFont val="Arial"/>
        <family val="2"/>
      </rPr>
      <t>Small and Medium Enterprise segment</t>
    </r>
  </si>
  <si>
    <t xml:space="preserve">DISCLAIMER: Utmost care has been taken in the preparation of this report.However, the Nairobi Securities Exchange does not warrant accuracy,adequacy or completeness of this information- and expressly disclaims liability for errors or omissions in this information. </t>
  </si>
  <si>
    <t>No warranty of any kind,implied,express or statutory is  given in conjunction with the information.</t>
  </si>
  <si>
    <r>
      <t xml:space="preserve">cd = </t>
    </r>
    <r>
      <rPr>
        <sz val="14"/>
        <rFont val="Arial"/>
        <family val="2"/>
      </rPr>
      <t>cum dividend/Special dividend (with dividend)</t>
    </r>
    <r>
      <rPr>
        <b/>
        <sz val="14"/>
        <rFont val="Arial"/>
        <family val="2"/>
      </rPr>
      <t xml:space="preserve"> , xd = </t>
    </r>
    <r>
      <rPr>
        <sz val="14"/>
        <rFont val="Arial"/>
        <family val="2"/>
      </rPr>
      <t>ex dividend (without dividend), x</t>
    </r>
    <r>
      <rPr>
        <b/>
        <i/>
        <sz val="14"/>
        <rFont val="Arial"/>
        <family val="2"/>
      </rPr>
      <t xml:space="preserve">d* </t>
    </r>
    <r>
      <rPr>
        <sz val="14"/>
        <rFont val="Arial"/>
        <family val="2"/>
      </rPr>
      <t>= 'ex</t>
    </r>
    <r>
      <rPr>
        <i/>
        <sz val="14"/>
        <rFont val="Arial"/>
        <family val="2"/>
      </rPr>
      <t xml:space="preserve"> dividend + in specie' </t>
    </r>
  </si>
  <si>
    <r>
      <t xml:space="preserve">cb </t>
    </r>
    <r>
      <rPr>
        <sz val="14"/>
        <rFont val="Arial"/>
        <family val="2"/>
      </rPr>
      <t xml:space="preserve">= cum bonus , </t>
    </r>
    <r>
      <rPr>
        <b/>
        <sz val="14"/>
        <rFont val="Arial"/>
        <family val="2"/>
      </rPr>
      <t xml:space="preserve">xb </t>
    </r>
    <r>
      <rPr>
        <sz val="14"/>
        <rFont val="Arial"/>
        <family val="2"/>
      </rPr>
      <t xml:space="preserve">= ex bonus , </t>
    </r>
    <r>
      <rPr>
        <b/>
        <sz val="14"/>
        <rFont val="Arial"/>
        <family val="2"/>
      </rPr>
      <t xml:space="preserve">cr </t>
    </r>
    <r>
      <rPr>
        <sz val="14"/>
        <rFont val="Arial"/>
        <family val="2"/>
      </rPr>
      <t xml:space="preserve">= cum rights , </t>
    </r>
    <r>
      <rPr>
        <b/>
        <sz val="14"/>
        <rFont val="Arial"/>
        <family val="2"/>
      </rPr>
      <t xml:space="preserve">xr </t>
    </r>
    <r>
      <rPr>
        <sz val="14"/>
        <rFont val="Arial"/>
        <family val="2"/>
      </rPr>
      <t>= ex rights</t>
    </r>
  </si>
  <si>
    <r>
      <t>ca</t>
    </r>
    <r>
      <rPr>
        <sz val="14"/>
        <rFont val="Arial"/>
        <family val="2"/>
      </rPr>
      <t xml:space="preserve"> = cum all (cum bonus &amp; cum dividend) , </t>
    </r>
    <r>
      <rPr>
        <b/>
        <sz val="14"/>
        <rFont val="Arial"/>
        <family val="2"/>
      </rPr>
      <t xml:space="preserve">xa </t>
    </r>
    <r>
      <rPr>
        <sz val="14"/>
        <rFont val="Arial"/>
        <family val="2"/>
      </rPr>
      <t xml:space="preserve">= ex all (ex bonus &amp; ex dividend). </t>
    </r>
    <r>
      <rPr>
        <b/>
        <sz val="14"/>
        <rFont val="Arial"/>
        <family val="2"/>
      </rPr>
      <t>S</t>
    </r>
    <r>
      <rPr>
        <sz val="14"/>
        <rFont val="Arial"/>
        <family val="2"/>
      </rPr>
      <t xml:space="preserve"> = Suspended, </t>
    </r>
    <r>
      <rPr>
        <b/>
        <sz val="14"/>
        <rFont val="Arial"/>
        <family val="2"/>
      </rPr>
      <t>cs</t>
    </r>
    <r>
      <rPr>
        <sz val="14"/>
        <rFont val="Arial"/>
        <family val="2"/>
      </rPr>
      <t xml:space="preserve">=cum split  </t>
    </r>
    <r>
      <rPr>
        <b/>
        <sz val="14"/>
        <rFont val="Arial"/>
        <family val="2"/>
      </rPr>
      <t>xs</t>
    </r>
    <r>
      <rPr>
        <sz val="14"/>
        <rFont val="Arial"/>
        <family val="2"/>
      </rPr>
      <t>=ex split</t>
    </r>
  </si>
  <si>
    <t>SECURITIES LENDING AND BORROWING (SLB) STATISTICS</t>
  </si>
  <si>
    <t xml:space="preserve">DAILY SLB TRANSACTIONS  (MATCHED  TRANSACTIONS) </t>
  </si>
  <si>
    <t>Agreement Date</t>
  </si>
  <si>
    <t>Maturity Date</t>
  </si>
  <si>
    <t>Duration in Days</t>
  </si>
  <si>
    <t>Security</t>
  </si>
  <si>
    <t>Lending Agent</t>
  </si>
  <si>
    <t>SLB BLOTTER ( UNMATCHED TRANSACTIONS)</t>
  </si>
  <si>
    <t>Type</t>
  </si>
  <si>
    <t>Quantity</t>
  </si>
  <si>
    <t>Lending rate %</t>
  </si>
  <si>
    <t>UNQUOTED SECURITIES  PLATFORM</t>
  </si>
  <si>
    <t>Highest Price</t>
  </si>
  <si>
    <t>Lowest Price</t>
  </si>
  <si>
    <t>Closing</t>
  </si>
  <si>
    <t>Total</t>
  </si>
  <si>
    <t>Issued</t>
  </si>
  <si>
    <t xml:space="preserve">Market </t>
  </si>
  <si>
    <t xml:space="preserve"> (KES)</t>
  </si>
  <si>
    <t>Sector</t>
  </si>
  <si>
    <t xml:space="preserve"> Turnover </t>
  </si>
  <si>
    <t>ACORN D-REIT</t>
  </si>
  <si>
    <t>Real Estate</t>
  </si>
  <si>
    <t>ACORN I-REIT</t>
  </si>
  <si>
    <t>ILAM FAHARI-I REIT</t>
  </si>
  <si>
    <t>BATIAN INCOME PROPERTY FUND</t>
  </si>
  <si>
    <t xml:space="preserve"> -   </t>
  </si>
  <si>
    <t>Issue</t>
  </si>
  <si>
    <t>Maturity</t>
  </si>
  <si>
    <t>Outstanding Value</t>
  </si>
  <si>
    <t xml:space="preserve"> Date</t>
  </si>
  <si>
    <t xml:space="preserve">Profit Rate </t>
  </si>
  <si>
    <t xml:space="preserve"> (Kes 'M)</t>
  </si>
  <si>
    <t>Linzi Sukuk</t>
  </si>
  <si>
    <t>Fixed Income</t>
  </si>
  <si>
    <t xml:space="preserve">Fixed </t>
  </si>
  <si>
    <t xml:space="preserve">       Total Volume</t>
  </si>
  <si>
    <t xml:space="preserve">Current </t>
  </si>
  <si>
    <t xml:space="preserve">Previous </t>
  </si>
  <si>
    <t>TOTAL NO OF</t>
  </si>
  <si>
    <t xml:space="preserve">Trading </t>
  </si>
  <si>
    <t>ISIN CODE</t>
  </si>
  <si>
    <t>SHARES ISSUED</t>
  </si>
  <si>
    <t xml:space="preserve">MRT CAP </t>
  </si>
  <si>
    <t>Currency</t>
  </si>
  <si>
    <t>10 % up</t>
  </si>
  <si>
    <t>10% down</t>
  </si>
  <si>
    <t xml:space="preserve"> Eaagads Ltd Ord 1.25 SME</t>
  </si>
  <si>
    <t>KES</t>
  </si>
  <si>
    <t xml:space="preserve"> Kakuzi Plc Ord.5.00 </t>
  </si>
  <si>
    <t xml:space="preserve"> Kapchorua Tea Co. Ltd Ord Ord 5.00 SME </t>
  </si>
  <si>
    <t xml:space="preserve"> The Limuru Tea Co. Plc Ord 20.00 SME </t>
  </si>
  <si>
    <t xml:space="preserve"> Sasini Plc Ord 1.00</t>
  </si>
  <si>
    <t xml:space="preserve"> Williamson Tea Kenya Ltd Ord 5.00 </t>
  </si>
  <si>
    <t/>
  </si>
  <si>
    <t xml:space="preserve"> Car &amp; General (K) Ltd Ord 5.00</t>
  </si>
  <si>
    <t xml:space="preserve"> KCB Group Plc Ord 1.00</t>
  </si>
  <si>
    <t xml:space="preserve"> Eveready East Africa Ltd Ord.1.00 SME </t>
  </si>
  <si>
    <t xml:space="preserve"> Homeboyz Entertainment Plc 0.50 SME </t>
  </si>
  <si>
    <t xml:space="preserve"> Longhorn Publishers Plc Ord 1.00AIMS</t>
  </si>
  <si>
    <t xml:space="preserve"> Nairobi Business Ventures Plc Ord. 0.50 SME </t>
  </si>
  <si>
    <t xml:space="preserve"> TPS Eastern Africa  Ltd Ord 1.00  </t>
  </si>
  <si>
    <t xml:space="preserve"> CIC Insurance Group Ltd ord.1.00</t>
  </si>
  <si>
    <t xml:space="preserve"> Liberty Kenya Holdings Ltd Ord.1.00</t>
  </si>
  <si>
    <t xml:space="preserve"> Centum Investment Co Plc Ord 0.50 </t>
  </si>
  <si>
    <t xml:space="preserve"> Kurwitu Ventures Ltd Ord 100.00 SME </t>
  </si>
  <si>
    <t xml:space="preserve"> Olympia Capital Holdings ltd Ord 5.00</t>
  </si>
  <si>
    <t>Trans-Century Plc Ord 0.50AIMS</t>
  </si>
  <si>
    <t xml:space="preserve"> B.O.C Kenya Plc Ord 5.00</t>
  </si>
  <si>
    <t xml:space="preserve"> Carbacid Investments Ltd Ord 1.00</t>
  </si>
  <si>
    <t xml:space="preserve"> East African Breweries Plc Ord 2.00</t>
  </si>
  <si>
    <t xml:space="preserve"> Africa Mega Agricorp Plc Ord 5.00 SME </t>
  </si>
  <si>
    <t xml:space="preserve"> Shri Krishana Overseas (SKL) Plc 0.20 SME </t>
  </si>
  <si>
    <t xml:space="preserve"> Safaricom Plc Ord 0.05</t>
  </si>
  <si>
    <t>LAPTRUST IMARA I-REIT NAV 20.00</t>
  </si>
  <si>
    <t>ALP Industrial REIT NAV USD 1.00</t>
  </si>
  <si>
    <t>USD</t>
  </si>
  <si>
    <t>NEW GOLD ETF</t>
  </si>
  <si>
    <t>Absa Bank Kenya Plc Ord Ord 0.50; KE0000000067; announced an Interim Dividend of Kes.0.50 on 18-Aug-2025; Books Closure; 18-Sep-2026; Payment date; 15-Oct-2026</t>
  </si>
  <si>
    <t>Up 0.67 points to close at 241.85</t>
  </si>
  <si>
    <t>Up 0.63 points to close at 280.54</t>
  </si>
  <si>
    <t>Up 10.48 points to close at 2630.31</t>
  </si>
  <si>
    <t>Down 0.16 points to close at 4178.35</t>
  </si>
  <si>
    <t>Up 13.50 points to close at 6730.60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</si>
</sst>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0.00_)"/>
    <numFmt numFmtId="165" formatCode="[$-409]mmmm\ d\,\ yyyy;@"/>
    <numFmt numFmtId="166" formatCode="[$-409]d\-mmm\-yy;@"/>
    <numFmt numFmtId="167" formatCode="_-* #,##0_-;\-* #,##0_-;_-* &quot;-&quot;??_-;_-@_-"/>
    <numFmt numFmtId="168" formatCode="0.0"/>
    <numFmt numFmtId="169" formatCode="_-* #,##0.000_-;\-* #,##0.000_-;_-* &quot;-&quot;??_-;_-@_-"/>
    <numFmt numFmtId="170" formatCode="[$-409]dd\-mmm\-yy;@"/>
    <numFmt numFmtId="171" formatCode="[$]d\ mmm\ yyyy;@"/>
    <numFmt numFmtId="172" formatCode="_(* #,##0_);_(* \(#,##0\);_(* &quot;-&quot;??_);_(@_)"/>
  </numFmts>
  <fonts count="77" x14ac:knownFonts="1">
    <font>
      <sz val="11"/>
      <color theme="1"/>
      <name val="Calibri"/>
      <family val="2"/>
      <scheme val="minor"/>
    </font>
    <font>
      <sz val="20"/>
      <name val="Comic Sans MS"/>
      <family val="4"/>
    </font>
    <font>
      <sz val="16"/>
      <name val="Comic Sans MS"/>
      <family val="4"/>
    </font>
    <font>
      <b/>
      <sz val="20"/>
      <name val="Comic Sans MS"/>
      <family val="4"/>
    </font>
    <font>
      <i/>
      <sz val="20"/>
      <name val="Comic Sans MS"/>
      <family val="4"/>
    </font>
    <font>
      <b/>
      <sz val="14"/>
      <name val="Imprint MT Shadow"/>
      <family val="5"/>
    </font>
    <font>
      <sz val="16"/>
      <name val="Imprint MT Shadow"/>
      <family val="5"/>
    </font>
    <font>
      <b/>
      <i/>
      <sz val="10"/>
      <color indexed="8"/>
      <name val="Comic Sans MS"/>
      <family val="4"/>
    </font>
    <font>
      <b/>
      <sz val="18"/>
      <name val="Comic Sans MS"/>
      <family val="4"/>
    </font>
    <font>
      <sz val="18"/>
      <name val="Comic Sans MS"/>
      <family val="4"/>
    </font>
    <font>
      <b/>
      <i/>
      <sz val="10"/>
      <name val="Comic Sans MS"/>
      <family val="4"/>
    </font>
    <font>
      <b/>
      <sz val="18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16"/>
      <name val="Arial"/>
      <family val="2"/>
    </font>
    <font>
      <b/>
      <i/>
      <sz val="14"/>
      <name val="Century Gothic"/>
      <family val="2"/>
    </font>
    <font>
      <sz val="14"/>
      <name val="Century Gothic"/>
      <family val="2"/>
    </font>
    <font>
      <sz val="18"/>
      <name val="Arial"/>
      <family val="2"/>
    </font>
    <font>
      <b/>
      <i/>
      <sz val="14"/>
      <name val="Arial"/>
      <family val="2"/>
    </font>
    <font>
      <i/>
      <sz val="14"/>
      <name val="Arial"/>
      <family val="2"/>
    </font>
    <font>
      <sz val="20"/>
      <name val="Arial"/>
      <family val="2"/>
    </font>
    <font>
      <b/>
      <sz val="10"/>
      <name val="Century Gothic"/>
      <family val="2"/>
    </font>
    <font>
      <sz val="10"/>
      <name val="Century Gothic"/>
      <family val="2"/>
    </font>
    <font>
      <sz val="10"/>
      <name val="Comic Sans MS"/>
      <family val="4"/>
    </font>
    <font>
      <sz val="10"/>
      <name val="Arial"/>
      <family val="2"/>
    </font>
    <font>
      <sz val="10"/>
      <color indexed="8"/>
      <name val="Century Gothic"/>
      <family val="2"/>
    </font>
    <font>
      <sz val="11"/>
      <color theme="1"/>
      <name val="Calibri"/>
      <family val="2"/>
      <scheme val="minor"/>
    </font>
    <font>
      <u/>
      <sz val="6.5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sz val="24"/>
      <color rgb="FFC00000"/>
      <name val="Cambria"/>
      <family val="1"/>
    </font>
    <font>
      <b/>
      <sz val="20"/>
      <color rgb="FFFF0000"/>
      <name val="Comic Sans MS"/>
      <family val="4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0"/>
      <color rgb="FF000000"/>
      <name val="Comic Sans MS"/>
      <family val="4"/>
    </font>
    <font>
      <b/>
      <sz val="18"/>
      <color theme="0"/>
      <name val="Comic Sans MS"/>
      <family val="4"/>
    </font>
    <font>
      <sz val="20"/>
      <color theme="0"/>
      <name val="Comic Sans MS"/>
      <family val="4"/>
    </font>
    <font>
      <b/>
      <sz val="20"/>
      <color theme="0"/>
      <name val="Comic Sans MS"/>
      <family val="4"/>
    </font>
    <font>
      <b/>
      <sz val="22"/>
      <color theme="0"/>
      <name val="Comic Sans MS"/>
      <family val="4"/>
    </font>
    <font>
      <b/>
      <sz val="16"/>
      <color theme="0"/>
      <name val="Comic Sans MS"/>
      <family val="4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rgb="FF000000"/>
      <name val="Comic Sans MS"/>
      <family val="4"/>
    </font>
    <font>
      <sz val="16"/>
      <color rgb="FF000000"/>
      <name val="Comic Sans MS"/>
      <family val="4"/>
    </font>
    <font>
      <sz val="20"/>
      <color theme="1"/>
      <name val="Comic Sans MS"/>
      <family val="4"/>
    </font>
    <font>
      <sz val="16"/>
      <color theme="1"/>
      <name val="Comic Sans MS"/>
      <family val="4"/>
    </font>
    <font>
      <b/>
      <sz val="18"/>
      <color theme="1"/>
      <name val="Comic Sans MS"/>
      <family val="4"/>
    </font>
    <font>
      <sz val="16"/>
      <color theme="0"/>
      <name val="Comic Sans MS"/>
      <family val="4"/>
    </font>
    <font>
      <b/>
      <sz val="18"/>
      <color theme="0"/>
      <name val="Arial"/>
      <family val="2"/>
    </font>
    <font>
      <b/>
      <sz val="18"/>
      <color theme="2"/>
      <name val="Arial"/>
      <family val="2"/>
    </font>
    <font>
      <b/>
      <sz val="20"/>
      <color rgb="FF000000"/>
      <name val="Arial"/>
      <family val="2"/>
    </font>
    <font>
      <b/>
      <sz val="14"/>
      <color rgb="FFFF0000"/>
      <name val="Arial"/>
      <family val="2"/>
    </font>
    <font>
      <b/>
      <u/>
      <sz val="22"/>
      <color rgb="FF8DC63F"/>
      <name val="Century Gothic"/>
      <family val="2"/>
    </font>
    <font>
      <sz val="16"/>
      <color rgb="FF000000"/>
      <name val="Arial"/>
      <family val="2"/>
    </font>
    <font>
      <b/>
      <sz val="20"/>
      <color rgb="FF54616A"/>
      <name val="Century Gothic"/>
      <family val="2"/>
    </font>
    <font>
      <sz val="14"/>
      <color rgb="FF000000"/>
      <name val="Arial"/>
      <family val="2"/>
    </font>
    <font>
      <sz val="18"/>
      <color theme="1"/>
      <name val="Comic Sans MS"/>
      <family val="4"/>
    </font>
    <font>
      <sz val="18"/>
      <color theme="1"/>
      <name val="Calibri"/>
      <family val="2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sz val="14"/>
      <color theme="1"/>
      <name val="Comic Sans MS"/>
      <family val="4"/>
    </font>
    <font>
      <sz val="11"/>
      <color theme="1"/>
      <name val="Comic Sans MS"/>
      <family val="4"/>
    </font>
    <font>
      <sz val="10"/>
      <color theme="1"/>
      <name val="Comic Sans MS"/>
      <family val="4"/>
    </font>
    <font>
      <sz val="12"/>
      <color theme="1"/>
      <name val="Comic Sans MS"/>
      <family val="4"/>
    </font>
    <font>
      <sz val="9"/>
      <color theme="1"/>
      <name val="Comic Sans MS"/>
      <family val="4"/>
    </font>
    <font>
      <b/>
      <sz val="20"/>
      <color theme="1"/>
      <name val="Comic Sans MS"/>
      <family val="4"/>
    </font>
    <font>
      <b/>
      <sz val="10"/>
      <color theme="0"/>
      <name val="Comic Sans MS"/>
      <family val="4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sz val="10"/>
      <color rgb="FF002060"/>
      <name val="Century Gothic"/>
      <family val="2"/>
    </font>
    <font>
      <b/>
      <sz val="10"/>
      <color rgb="FF002060"/>
      <name val="Century Gothic"/>
      <family val="2"/>
    </font>
  </fonts>
  <fills count="1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54616A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8DC63F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894A7"/>
        <bgColor rgb="FF000000"/>
      </patternFill>
    </fill>
    <fill>
      <patternFill patternType="solid">
        <fgColor theme="1" tint="0.499984740745262"/>
        <bgColor rgb="FF000000"/>
      </patternFill>
    </fill>
    <fill>
      <patternFill patternType="solid">
        <fgColor theme="6" tint="-0.249977111117893"/>
        <bgColor rgb="FF000000"/>
      </patternFill>
    </fill>
    <fill>
      <patternFill patternType="solid">
        <fgColor rgb="FF27ABE2"/>
        <bgColor rgb="FF000000"/>
      </patternFill>
    </fill>
    <fill>
      <patternFill patternType="solid">
        <fgColor rgb="FFD1D5CF"/>
        <bgColor indexed="64"/>
      </patternFill>
    </fill>
    <fill>
      <patternFill patternType="solid">
        <fgColor rgb="FF525E68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A99AD"/>
        <bgColor indexed="64"/>
      </patternFill>
    </fill>
  </fills>
  <borders count="6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rgb="FF8DC63F"/>
      </top>
      <bottom/>
      <diagonal/>
    </border>
    <border>
      <left/>
      <right/>
      <top style="medium">
        <color rgb="FF8DC63F"/>
      </top>
      <bottom/>
      <diagonal/>
    </border>
    <border>
      <left/>
      <right style="medium">
        <color indexed="64"/>
      </right>
      <top style="medium">
        <color rgb="FF8DC63F"/>
      </top>
      <bottom/>
      <diagonal/>
    </border>
    <border>
      <left style="medium">
        <color indexed="64"/>
      </left>
      <right/>
      <top/>
      <bottom style="medium">
        <color rgb="FF8DC63F"/>
      </bottom>
      <diagonal/>
    </border>
    <border>
      <left/>
      <right/>
      <top/>
      <bottom style="medium">
        <color rgb="FF8DC63F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 style="medium">
        <color rgb="FF8DC63F"/>
      </bottom>
      <diagonal/>
    </border>
    <border>
      <left style="medium">
        <color indexed="64"/>
      </left>
      <right style="medium">
        <color indexed="64"/>
      </right>
      <top style="medium">
        <color rgb="FF8DC63F"/>
      </top>
      <bottom style="medium">
        <color rgb="FF8DC63F"/>
      </bottom>
      <diagonal/>
    </border>
    <border>
      <left style="medium">
        <color rgb="FF92D050"/>
      </left>
      <right style="medium">
        <color rgb="FF92D050"/>
      </right>
      <top/>
      <bottom/>
      <diagonal/>
    </border>
    <border>
      <left style="medium">
        <color rgb="FF92D050"/>
      </left>
      <right style="medium">
        <color rgb="FF92D050"/>
      </right>
      <top style="medium">
        <color rgb="FF8DC63F"/>
      </top>
      <bottom style="medium">
        <color rgb="FF8DC63F"/>
      </bottom>
      <diagonal/>
    </border>
    <border>
      <left style="medium">
        <color rgb="FF92D050"/>
      </left>
      <right style="medium">
        <color rgb="FF92D050"/>
      </right>
      <top/>
      <bottom style="medium">
        <color rgb="FF92D050"/>
      </bottom>
      <diagonal/>
    </border>
    <border>
      <left style="medium">
        <color indexed="64"/>
      </left>
      <right style="medium">
        <color rgb="FF8DC63F"/>
      </right>
      <top style="medium">
        <color rgb="FF8DC63F"/>
      </top>
      <bottom/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/>
      <diagonal/>
    </border>
    <border>
      <left style="medium">
        <color indexed="64"/>
      </left>
      <right/>
      <top style="medium">
        <color rgb="FF92D050"/>
      </top>
      <bottom style="medium">
        <color rgb="FF92D050"/>
      </bottom>
      <diagonal/>
    </border>
    <border>
      <left/>
      <right/>
      <top/>
      <bottom style="medium">
        <color rgb="FF92D050"/>
      </bottom>
      <diagonal/>
    </border>
    <border>
      <left/>
      <right style="medium">
        <color rgb="FF92D050"/>
      </right>
      <top/>
      <bottom style="medium">
        <color rgb="FF92D050"/>
      </bottom>
      <diagonal/>
    </border>
    <border>
      <left/>
      <right style="thin">
        <color indexed="64"/>
      </right>
      <top/>
      <bottom style="medium">
        <color rgb="FF92D050"/>
      </bottom>
      <diagonal/>
    </border>
    <border>
      <left style="thin">
        <color indexed="64"/>
      </left>
      <right style="medium">
        <color indexed="64"/>
      </right>
      <top/>
      <bottom style="medium">
        <color rgb="FF92D050"/>
      </bottom>
      <diagonal/>
    </border>
    <border>
      <left style="medium">
        <color indexed="64"/>
      </left>
      <right style="thin">
        <color indexed="64"/>
      </right>
      <top style="medium">
        <color rgb="FF92D050"/>
      </top>
      <bottom style="medium">
        <color rgb="FF92D050"/>
      </bottom>
      <diagonal/>
    </border>
    <border>
      <left/>
      <right style="thin">
        <color indexed="64"/>
      </right>
      <top style="medium">
        <color rgb="FF92D050"/>
      </top>
      <bottom style="medium">
        <color rgb="FF92D050"/>
      </bottom>
      <diagonal/>
    </border>
    <border>
      <left style="thin">
        <color indexed="64"/>
      </left>
      <right style="thin">
        <color indexed="64"/>
      </right>
      <top style="medium">
        <color rgb="FF92D050"/>
      </top>
      <bottom style="medium">
        <color rgb="FF92D050"/>
      </bottom>
      <diagonal/>
    </border>
    <border>
      <left style="thin">
        <color indexed="64"/>
      </left>
      <right/>
      <top style="medium">
        <color rgb="FF92D050"/>
      </top>
      <bottom style="medium">
        <color rgb="FF92D050"/>
      </bottom>
      <diagonal/>
    </border>
    <border>
      <left style="thin">
        <color indexed="64"/>
      </left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 style="thin">
        <color indexed="64"/>
      </left>
      <right style="medium">
        <color indexed="64"/>
      </right>
      <top style="medium">
        <color rgb="FF92D050"/>
      </top>
      <bottom style="medium">
        <color rgb="FF92D050"/>
      </bottom>
      <diagonal/>
    </border>
    <border>
      <left style="thin">
        <color indexed="64"/>
      </left>
      <right style="thin">
        <color indexed="64"/>
      </right>
      <top style="medium">
        <color rgb="FF92D050"/>
      </top>
      <bottom/>
      <diagonal/>
    </border>
  </borders>
  <cellStyleXfs count="5">
    <xf numFmtId="0" fontId="0" fillId="0" borderId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9" fontId="28" fillId="0" borderId="0" applyFont="0" applyFill="0" applyBorder="0" applyAlignment="0" applyProtection="0"/>
  </cellStyleXfs>
  <cellXfs count="336">
    <xf numFmtId="0" fontId="0" fillId="0" borderId="0" xfId="0"/>
    <xf numFmtId="164" fontId="1" fillId="2" borderId="1" xfId="0" applyNumberFormat="1" applyFont="1" applyFill="1" applyBorder="1" applyAlignment="1">
      <alignment horizontal="left" vertical="top"/>
    </xf>
    <xf numFmtId="164" fontId="1" fillId="2" borderId="2" xfId="0" applyNumberFormat="1" applyFont="1" applyFill="1" applyBorder="1" applyAlignment="1">
      <alignment horizontal="right" vertical="top"/>
    </xf>
    <xf numFmtId="164" fontId="29" fillId="2" borderId="2" xfId="3" applyNumberFormat="1" applyFill="1" applyBorder="1" applyAlignment="1" applyProtection="1">
      <alignment vertical="top"/>
    </xf>
    <xf numFmtId="164" fontId="2" fillId="2" borderId="2" xfId="0" applyNumberFormat="1" applyFont="1" applyFill="1" applyBorder="1" applyAlignment="1">
      <alignment horizontal="center" vertical="top"/>
    </xf>
    <xf numFmtId="164" fontId="3" fillId="2" borderId="2" xfId="0" applyNumberFormat="1" applyFont="1" applyFill="1" applyBorder="1" applyAlignment="1">
      <alignment horizontal="centerContinuous" vertical="top"/>
    </xf>
    <xf numFmtId="164" fontId="4" fillId="2" borderId="2" xfId="0" applyNumberFormat="1" applyFont="1" applyFill="1" applyBorder="1" applyAlignment="1">
      <alignment horizontal="right" vertical="top"/>
    </xf>
    <xf numFmtId="2" fontId="1" fillId="2" borderId="2" xfId="0" applyNumberFormat="1" applyFont="1" applyFill="1" applyBorder="1" applyAlignment="1">
      <alignment horizontal="right" vertical="top"/>
    </xf>
    <xf numFmtId="165" fontId="31" fillId="2" borderId="0" xfId="0" applyNumberFormat="1" applyFont="1" applyFill="1" applyAlignment="1">
      <alignment horizontal="center"/>
    </xf>
    <xf numFmtId="165" fontId="32" fillId="2" borderId="3" xfId="0" applyNumberFormat="1" applyFont="1" applyFill="1" applyBorder="1" applyAlignment="1">
      <alignment horizontal="right" vertical="top"/>
    </xf>
    <xf numFmtId="0" fontId="0" fillId="0" borderId="0" xfId="0" applyAlignment="1">
      <alignment vertical="top"/>
    </xf>
    <xf numFmtId="0" fontId="33" fillId="0" borderId="0" xfId="0" applyFont="1" applyAlignment="1">
      <alignment vertical="top"/>
    </xf>
    <xf numFmtId="0" fontId="34" fillId="0" borderId="0" xfId="0" applyFont="1" applyAlignment="1">
      <alignment vertical="top"/>
    </xf>
    <xf numFmtId="0" fontId="35" fillId="0" borderId="0" xfId="0" applyFont="1" applyAlignment="1">
      <alignment vertical="top"/>
    </xf>
    <xf numFmtId="0" fontId="36" fillId="0" borderId="0" xfId="0" applyFont="1" applyAlignment="1">
      <alignment vertical="top"/>
    </xf>
    <xf numFmtId="0" fontId="37" fillId="0" borderId="0" xfId="0" applyFont="1" applyAlignment="1">
      <alignment vertical="top"/>
    </xf>
    <xf numFmtId="164" fontId="1" fillId="2" borderId="4" xfId="0" applyNumberFormat="1" applyFont="1" applyFill="1" applyBorder="1" applyAlignment="1">
      <alignment horizontal="left"/>
    </xf>
    <xf numFmtId="164" fontId="3" fillId="2" borderId="0" xfId="0" applyNumberFormat="1" applyFont="1" applyFill="1" applyAlignment="1">
      <alignment horizontal="right" vertical="top"/>
    </xf>
    <xf numFmtId="164" fontId="5" fillId="2" borderId="0" xfId="0" applyNumberFormat="1" applyFont="1" applyFill="1" applyAlignment="1">
      <alignment horizontal="center" vertical="top" wrapText="1"/>
    </xf>
    <xf numFmtId="164" fontId="6" fillId="2" borderId="0" xfId="0" applyNumberFormat="1" applyFont="1" applyFill="1" applyAlignment="1">
      <alignment horizontal="center" vertical="top" wrapText="1"/>
    </xf>
    <xf numFmtId="164" fontId="3" fillId="2" borderId="0" xfId="0" applyNumberFormat="1" applyFont="1" applyFill="1" applyAlignment="1">
      <alignment horizontal="centerContinuous" vertical="top"/>
    </xf>
    <xf numFmtId="164" fontId="4" fillId="2" borderId="0" xfId="0" applyNumberFormat="1" applyFont="1" applyFill="1" applyAlignment="1">
      <alignment horizontal="right" vertical="top"/>
    </xf>
    <xf numFmtId="164" fontId="1" fillId="2" borderId="0" xfId="0" applyNumberFormat="1" applyFont="1" applyFill="1" applyAlignment="1">
      <alignment horizontal="right" vertical="top"/>
    </xf>
    <xf numFmtId="2" fontId="1" fillId="2" borderId="0" xfId="0" applyNumberFormat="1" applyFont="1" applyFill="1" applyAlignment="1">
      <alignment horizontal="right" vertical="top"/>
    </xf>
    <xf numFmtId="0" fontId="38" fillId="2" borderId="0" xfId="0" applyFont="1" applyFill="1" applyAlignment="1">
      <alignment horizontal="right" vertical="top"/>
    </xf>
    <xf numFmtId="0" fontId="38" fillId="2" borderId="5" xfId="0" applyFont="1" applyFill="1" applyBorder="1" applyAlignment="1">
      <alignment horizontal="right" vertical="top"/>
    </xf>
    <xf numFmtId="164" fontId="39" fillId="3" borderId="43" xfId="0" applyNumberFormat="1" applyFont="1" applyFill="1" applyBorder="1" applyAlignment="1">
      <alignment horizontal="left"/>
    </xf>
    <xf numFmtId="164" fontId="39" fillId="3" borderId="44" xfId="0" applyNumberFormat="1" applyFont="1" applyFill="1" applyBorder="1" applyAlignment="1">
      <alignment horizontal="right"/>
    </xf>
    <xf numFmtId="164" fontId="40" fillId="3" borderId="44" xfId="0" applyNumberFormat="1" applyFont="1" applyFill="1" applyBorder="1" applyAlignment="1">
      <alignment horizontal="right"/>
    </xf>
    <xf numFmtId="164" fontId="41" fillId="3" borderId="44" xfId="0" applyNumberFormat="1" applyFont="1" applyFill="1" applyBorder="1" applyAlignment="1">
      <alignment horizontal="center"/>
    </xf>
    <xf numFmtId="164" fontId="41" fillId="3" borderId="44" xfId="0" applyNumberFormat="1" applyFont="1" applyFill="1" applyBorder="1" applyAlignment="1">
      <alignment horizontal="left"/>
    </xf>
    <xf numFmtId="2" fontId="42" fillId="3" borderId="44" xfId="0" applyNumberFormat="1" applyFont="1" applyFill="1" applyBorder="1" applyAlignment="1">
      <alignment horizontal="center"/>
    </xf>
    <xf numFmtId="164" fontId="41" fillId="3" borderId="0" xfId="0" applyNumberFormat="1" applyFont="1" applyFill="1" applyAlignment="1">
      <alignment horizontal="center"/>
    </xf>
    <xf numFmtId="164" fontId="41" fillId="3" borderId="45" xfId="0" applyNumberFormat="1" applyFont="1" applyFill="1" applyBorder="1" applyAlignment="1">
      <alignment horizontal="center"/>
    </xf>
    <xf numFmtId="164" fontId="41" fillId="3" borderId="46" xfId="0" applyNumberFormat="1" applyFont="1" applyFill="1" applyBorder="1" applyAlignment="1">
      <alignment horizontal="left"/>
    </xf>
    <xf numFmtId="164" fontId="40" fillId="3" borderId="47" xfId="0" applyNumberFormat="1" applyFont="1" applyFill="1" applyBorder="1" applyAlignment="1">
      <alignment horizontal="right"/>
    </xf>
    <xf numFmtId="164" fontId="41" fillId="3" borderId="47" xfId="0" applyNumberFormat="1" applyFont="1" applyFill="1" applyBorder="1" applyAlignment="1">
      <alignment horizontal="center"/>
    </xf>
    <xf numFmtId="164" fontId="41" fillId="3" borderId="47" xfId="0" applyNumberFormat="1" applyFont="1" applyFill="1" applyBorder="1" applyAlignment="1">
      <alignment horizontal="left"/>
    </xf>
    <xf numFmtId="164" fontId="41" fillId="3" borderId="47" xfId="0" applyNumberFormat="1" applyFont="1" applyFill="1" applyBorder="1" applyAlignment="1">
      <alignment horizontal="right"/>
    </xf>
    <xf numFmtId="164" fontId="41" fillId="3" borderId="47" xfId="0" applyNumberFormat="1" applyFont="1" applyFill="1" applyBorder="1"/>
    <xf numFmtId="166" fontId="43" fillId="3" borderId="47" xfId="0" applyNumberFormat="1" applyFont="1" applyFill="1" applyBorder="1" applyAlignment="1">
      <alignment horizontal="center"/>
    </xf>
    <xf numFmtId="0" fontId="30" fillId="0" borderId="6" xfId="0" applyFont="1" applyBorder="1" applyAlignment="1">
      <alignment horizontal="right" vertical="top"/>
    </xf>
    <xf numFmtId="0" fontId="44" fillId="0" borderId="6" xfId="0" applyFont="1" applyBorder="1" applyAlignment="1">
      <alignment horizontal="right" vertical="top"/>
    </xf>
    <xf numFmtId="0" fontId="45" fillId="0" borderId="0" xfId="0" applyFont="1" applyAlignment="1">
      <alignment vertical="top"/>
    </xf>
    <xf numFmtId="0" fontId="46" fillId="0" borderId="0" xfId="0" applyFont="1" applyAlignment="1">
      <alignment vertical="top"/>
    </xf>
    <xf numFmtId="0" fontId="47" fillId="0" borderId="0" xfId="0" applyFont="1" applyAlignment="1">
      <alignment vertical="top"/>
    </xf>
    <xf numFmtId="164" fontId="1" fillId="0" borderId="4" xfId="0" applyNumberFormat="1" applyFont="1" applyBorder="1" applyAlignment="1">
      <alignment horizontal="left"/>
    </xf>
    <xf numFmtId="164" fontId="1" fillId="0" borderId="0" xfId="0" applyNumberFormat="1" applyFont="1"/>
    <xf numFmtId="164" fontId="48" fillId="0" borderId="0" xfId="0" applyNumberFormat="1" applyFont="1" applyAlignment="1">
      <alignment horizontal="left"/>
    </xf>
    <xf numFmtId="164" fontId="49" fillId="0" borderId="0" xfId="0" applyNumberFormat="1" applyFont="1" applyAlignment="1">
      <alignment horizontal="center" vertical="center"/>
    </xf>
    <xf numFmtId="164" fontId="8" fillId="0" borderId="0" xfId="0" applyNumberFormat="1" applyFont="1"/>
    <xf numFmtId="164" fontId="1" fillId="0" borderId="0" xfId="0" applyNumberFormat="1" applyFont="1" applyProtection="1">
      <protection hidden="1"/>
    </xf>
    <xf numFmtId="167" fontId="1" fillId="0" borderId="5" xfId="2" applyNumberFormat="1" applyFont="1" applyFill="1" applyBorder="1" applyProtection="1">
      <protection hidden="1"/>
    </xf>
    <xf numFmtId="164" fontId="0" fillId="0" borderId="0" xfId="0" applyNumberFormat="1" applyAlignment="1">
      <alignment vertical="top"/>
    </xf>
    <xf numFmtId="164" fontId="33" fillId="0" borderId="7" xfId="0" applyNumberFormat="1" applyFont="1" applyBorder="1" applyAlignment="1">
      <alignment vertical="top"/>
    </xf>
    <xf numFmtId="164" fontId="34" fillId="0" borderId="0" xfId="0" applyNumberFormat="1" applyFont="1" applyAlignment="1">
      <alignment vertical="top"/>
    </xf>
    <xf numFmtId="168" fontId="35" fillId="4" borderId="0" xfId="0" applyNumberFormat="1" applyFont="1" applyFill="1" applyAlignment="1">
      <alignment vertical="top"/>
    </xf>
    <xf numFmtId="164" fontId="36" fillId="0" borderId="0" xfId="0" applyNumberFormat="1" applyFont="1" applyAlignment="1">
      <alignment vertical="top"/>
    </xf>
    <xf numFmtId="2" fontId="35" fillId="4" borderId="0" xfId="0" applyNumberFormat="1" applyFont="1" applyFill="1" applyAlignment="1">
      <alignment vertical="top"/>
    </xf>
    <xf numFmtId="164" fontId="1" fillId="0" borderId="0" xfId="0" applyNumberFormat="1" applyFont="1" applyAlignment="1">
      <alignment horizontal="right"/>
    </xf>
    <xf numFmtId="164" fontId="50" fillId="0" borderId="4" xfId="0" applyNumberFormat="1" applyFont="1" applyBorder="1" applyAlignment="1">
      <alignment horizontal="left"/>
    </xf>
    <xf numFmtId="164" fontId="50" fillId="0" borderId="0" xfId="0" applyNumberFormat="1" applyFont="1" applyAlignment="1">
      <alignment horizontal="left"/>
    </xf>
    <xf numFmtId="164" fontId="51" fillId="0" borderId="0" xfId="0" applyNumberFormat="1" applyFont="1" applyAlignment="1">
      <alignment horizontal="center" vertical="center"/>
    </xf>
    <xf numFmtId="164" fontId="52" fillId="0" borderId="0" xfId="0" applyNumberFormat="1" applyFont="1"/>
    <xf numFmtId="164" fontId="50" fillId="0" borderId="0" xfId="0" applyNumberFormat="1" applyFont="1" applyProtection="1">
      <protection hidden="1"/>
    </xf>
    <xf numFmtId="167" fontId="0" fillId="0" borderId="0" xfId="0" applyNumberFormat="1" applyAlignment="1">
      <alignment vertical="top"/>
    </xf>
    <xf numFmtId="2" fontId="1" fillId="0" borderId="4" xfId="0" applyNumberFormat="1" applyFont="1" applyBorder="1" applyAlignment="1">
      <alignment horizontal="left"/>
    </xf>
    <xf numFmtId="10" fontId="28" fillId="0" borderId="0" xfId="4" applyNumberFormat="1" applyFont="1" applyAlignment="1">
      <alignment vertical="top"/>
    </xf>
    <xf numFmtId="164" fontId="40" fillId="5" borderId="4" xfId="0" applyNumberFormat="1" applyFont="1" applyFill="1" applyBorder="1" applyAlignment="1">
      <alignment horizontal="left"/>
    </xf>
    <xf numFmtId="164" fontId="40" fillId="5" borderId="0" xfId="0" applyNumberFormat="1" applyFont="1" applyFill="1" applyAlignment="1">
      <alignment horizontal="right"/>
    </xf>
    <xf numFmtId="164" fontId="41" fillId="5" borderId="0" xfId="0" applyNumberFormat="1" applyFont="1" applyFill="1" applyAlignment="1">
      <alignment horizontal="center"/>
    </xf>
    <xf numFmtId="164" fontId="53" fillId="5" borderId="0" xfId="0" applyNumberFormat="1" applyFont="1" applyFill="1" applyAlignment="1">
      <alignment horizontal="center"/>
    </xf>
    <xf numFmtId="164" fontId="39" fillId="5" borderId="0" xfId="0" applyNumberFormat="1" applyFont="1" applyFill="1"/>
    <xf numFmtId="164" fontId="1" fillId="6" borderId="0" xfId="0" applyNumberFormat="1" applyFont="1" applyFill="1" applyProtection="1">
      <protection hidden="1"/>
    </xf>
    <xf numFmtId="164" fontId="40" fillId="7" borderId="0" xfId="0" applyNumberFormat="1" applyFont="1" applyFill="1" applyProtection="1">
      <protection hidden="1"/>
    </xf>
    <xf numFmtId="164" fontId="40" fillId="5" borderId="0" xfId="0" applyNumberFormat="1" applyFont="1" applyFill="1"/>
    <xf numFmtId="167" fontId="1" fillId="6" borderId="5" xfId="2" applyNumberFormat="1" applyFont="1" applyFill="1" applyBorder="1" applyProtection="1">
      <protection hidden="1"/>
    </xf>
    <xf numFmtId="164" fontId="1" fillId="5" borderId="4" xfId="0" applyNumberFormat="1" applyFont="1" applyFill="1" applyBorder="1" applyAlignment="1">
      <alignment horizontal="left"/>
    </xf>
    <xf numFmtId="164" fontId="1" fillId="5" borderId="0" xfId="0" applyNumberFormat="1" applyFont="1" applyFill="1" applyAlignment="1">
      <alignment horizontal="right"/>
    </xf>
    <xf numFmtId="164" fontId="49" fillId="5" borderId="0" xfId="0" applyNumberFormat="1" applyFont="1" applyFill="1" applyAlignment="1">
      <alignment horizontal="center"/>
    </xf>
    <xf numFmtId="164" fontId="8" fillId="5" borderId="0" xfId="0" applyNumberFormat="1" applyFont="1" applyFill="1"/>
    <xf numFmtId="164" fontId="1" fillId="7" borderId="0" xfId="0" applyNumberFormat="1" applyFont="1" applyFill="1" applyProtection="1">
      <protection hidden="1"/>
    </xf>
    <xf numFmtId="164" fontId="1" fillId="5" borderId="0" xfId="0" applyNumberFormat="1" applyFont="1" applyFill="1"/>
    <xf numFmtId="43" fontId="28" fillId="0" borderId="0" xfId="1" applyFont="1" applyAlignment="1">
      <alignment vertical="top"/>
    </xf>
    <xf numFmtId="164" fontId="48" fillId="0" borderId="0" xfId="0" applyNumberFormat="1" applyFont="1" applyAlignment="1">
      <alignment horizontal="right"/>
    </xf>
    <xf numFmtId="164" fontId="1" fillId="0" borderId="0" xfId="0" applyNumberFormat="1" applyFont="1" applyAlignment="1">
      <alignment horizontal="left"/>
    </xf>
    <xf numFmtId="164" fontId="34" fillId="8" borderId="6" xfId="0" applyNumberFormat="1" applyFont="1" applyFill="1" applyBorder="1" applyAlignment="1">
      <alignment vertical="top"/>
    </xf>
    <xf numFmtId="168" fontId="35" fillId="8" borderId="6" xfId="0" applyNumberFormat="1" applyFont="1" applyFill="1" applyBorder="1" applyAlignment="1">
      <alignment vertical="top"/>
    </xf>
    <xf numFmtId="164" fontId="36" fillId="8" borderId="6" xfId="0" applyNumberFormat="1" applyFont="1" applyFill="1" applyBorder="1" applyAlignment="1">
      <alignment vertical="top"/>
    </xf>
    <xf numFmtId="2" fontId="35" fillId="8" borderId="6" xfId="0" applyNumberFormat="1" applyFont="1" applyFill="1" applyBorder="1" applyAlignment="1">
      <alignment vertical="top"/>
    </xf>
    <xf numFmtId="164" fontId="1" fillId="0" borderId="4" xfId="0" quotePrefix="1" applyNumberFormat="1" applyFont="1" applyBorder="1" applyAlignment="1">
      <alignment horizontal="left"/>
    </xf>
    <xf numFmtId="164" fontId="48" fillId="0" borderId="4" xfId="0" applyNumberFormat="1" applyFont="1" applyBorder="1" applyAlignment="1">
      <alignment horizontal="left"/>
    </xf>
    <xf numFmtId="164" fontId="9" fillId="0" borderId="4" xfId="0" applyNumberFormat="1" applyFont="1" applyBorder="1" applyAlignment="1">
      <alignment horizontal="left"/>
    </xf>
    <xf numFmtId="164" fontId="9" fillId="0" borderId="0" xfId="0" applyNumberFormat="1" applyFont="1" applyAlignment="1">
      <alignment horizontal="right"/>
    </xf>
    <xf numFmtId="164" fontId="9" fillId="0" borderId="0" xfId="0" applyNumberFormat="1" applyFont="1"/>
    <xf numFmtId="164" fontId="2" fillId="0" borderId="0" xfId="0" applyNumberFormat="1" applyFont="1" applyAlignment="1">
      <alignment horizontal="center"/>
    </xf>
    <xf numFmtId="164" fontId="9" fillId="0" borderId="0" xfId="0" applyNumberFormat="1" applyFont="1" applyProtection="1">
      <protection hidden="1"/>
    </xf>
    <xf numFmtId="164" fontId="1" fillId="0" borderId="0" xfId="2" applyNumberFormat="1" applyFont="1" applyFill="1" applyBorder="1"/>
    <xf numFmtId="43" fontId="1" fillId="0" borderId="0" xfId="2" applyFont="1" applyFill="1" applyBorder="1"/>
    <xf numFmtId="164" fontId="1" fillId="5" borderId="0" xfId="0" applyNumberFormat="1" applyFont="1" applyFill="1" applyProtection="1">
      <protection hidden="1"/>
    </xf>
    <xf numFmtId="164" fontId="34" fillId="0" borderId="6" xfId="0" applyNumberFormat="1" applyFont="1" applyBorder="1" applyAlignment="1">
      <alignment vertical="top"/>
    </xf>
    <xf numFmtId="164" fontId="36" fillId="0" borderId="6" xfId="0" applyNumberFormat="1" applyFont="1" applyBorder="1" applyAlignment="1">
      <alignment vertical="top"/>
    </xf>
    <xf numFmtId="164" fontId="1" fillId="0" borderId="0" xfId="0" applyNumberFormat="1" applyFont="1" applyAlignment="1" applyProtection="1">
      <alignment horizontal="right"/>
      <protection hidden="1"/>
    </xf>
    <xf numFmtId="167" fontId="1" fillId="0" borderId="5" xfId="2" applyNumberFormat="1" applyFont="1" applyFill="1" applyBorder="1"/>
    <xf numFmtId="164" fontId="54" fillId="9" borderId="48" xfId="0" applyNumberFormat="1" applyFont="1" applyFill="1" applyBorder="1"/>
    <xf numFmtId="164" fontId="55" fillId="10" borderId="49" xfId="0" applyNumberFormat="1" applyFont="1" applyFill="1" applyBorder="1"/>
    <xf numFmtId="164" fontId="11" fillId="10" borderId="49" xfId="0" applyNumberFormat="1" applyFont="1" applyFill="1" applyBorder="1"/>
    <xf numFmtId="164" fontId="56" fillId="0" borderId="50" xfId="0" applyNumberFormat="1" applyFont="1" applyBorder="1"/>
    <xf numFmtId="164" fontId="11" fillId="0" borderId="8" xfId="0" applyNumberFormat="1" applyFont="1" applyBorder="1" applyAlignment="1">
      <alignment horizontal="center"/>
    </xf>
    <xf numFmtId="167" fontId="11" fillId="0" borderId="9" xfId="2" applyNumberFormat="1" applyFont="1" applyFill="1" applyBorder="1" applyAlignment="1" applyProtection="1">
      <alignment horizontal="center"/>
    </xf>
    <xf numFmtId="164" fontId="54" fillId="9" borderId="51" xfId="0" applyNumberFormat="1" applyFont="1" applyFill="1" applyBorder="1"/>
    <xf numFmtId="169" fontId="11" fillId="0" borderId="10" xfId="2" applyNumberFormat="1" applyFont="1" applyFill="1" applyBorder="1" applyAlignment="1">
      <alignment horizontal="right"/>
    </xf>
    <xf numFmtId="0" fontId="0" fillId="0" borderId="4" xfId="0" applyBorder="1"/>
    <xf numFmtId="164" fontId="11" fillId="0" borderId="0" xfId="0" applyNumberFormat="1" applyFont="1"/>
    <xf numFmtId="164" fontId="11" fillId="0" borderId="5" xfId="0" applyNumberFormat="1" applyFont="1" applyBorder="1"/>
    <xf numFmtId="4" fontId="12" fillId="0" borderId="0" xfId="0" applyNumberFormat="1" applyFont="1"/>
    <xf numFmtId="9" fontId="0" fillId="0" borderId="0" xfId="0" applyNumberFormat="1" applyAlignment="1">
      <alignment vertical="top"/>
    </xf>
    <xf numFmtId="164" fontId="56" fillId="0" borderId="52" xfId="0" applyNumberFormat="1" applyFont="1" applyBorder="1"/>
    <xf numFmtId="164" fontId="12" fillId="0" borderId="0" xfId="0" applyNumberFormat="1" applyFont="1"/>
    <xf numFmtId="167" fontId="11" fillId="0" borderId="11" xfId="2" applyNumberFormat="1" applyFont="1" applyFill="1" applyBorder="1" applyAlignment="1" applyProtection="1">
      <alignment horizontal="center"/>
    </xf>
    <xf numFmtId="164" fontId="57" fillId="0" borderId="0" xfId="0" applyNumberFormat="1" applyFont="1"/>
    <xf numFmtId="167" fontId="11" fillId="0" borderId="10" xfId="0" applyNumberFormat="1" applyFont="1" applyBorder="1" applyAlignment="1">
      <alignment horizontal="right"/>
    </xf>
    <xf numFmtId="167" fontId="11" fillId="0" borderId="0" xfId="0" applyNumberFormat="1" applyFont="1" applyAlignment="1">
      <alignment horizontal="right"/>
    </xf>
    <xf numFmtId="167" fontId="11" fillId="0" borderId="5" xfId="2" applyNumberFormat="1" applyFont="1" applyFill="1" applyBorder="1" applyAlignment="1"/>
    <xf numFmtId="164" fontId="13" fillId="0" borderId="0" xfId="0" applyNumberFormat="1" applyFont="1"/>
    <xf numFmtId="164" fontId="55" fillId="10" borderId="53" xfId="0" applyNumberFormat="1" applyFont="1" applyFill="1" applyBorder="1"/>
    <xf numFmtId="164" fontId="11" fillId="10" borderId="45" xfId="0" applyNumberFormat="1" applyFont="1" applyFill="1" applyBorder="1"/>
    <xf numFmtId="167" fontId="33" fillId="0" borderId="0" xfId="0" applyNumberFormat="1" applyFont="1" applyAlignment="1">
      <alignment vertical="top"/>
    </xf>
    <xf numFmtId="164" fontId="58" fillId="0" borderId="4" xfId="0" applyNumberFormat="1" applyFont="1" applyBorder="1" applyAlignment="1">
      <alignment horizontal="left"/>
    </xf>
    <xf numFmtId="164" fontId="14" fillId="0" borderId="0" xfId="0" applyNumberFormat="1" applyFont="1"/>
    <xf numFmtId="164" fontId="59" fillId="0" borderId="0" xfId="0" applyNumberFormat="1" applyFont="1" applyAlignment="1">
      <alignment horizontal="center"/>
    </xf>
    <xf numFmtId="164" fontId="11" fillId="0" borderId="12" xfId="0" applyNumberFormat="1" applyFont="1" applyBorder="1" applyAlignment="1">
      <alignment horizontal="center"/>
    </xf>
    <xf numFmtId="167" fontId="11" fillId="0" borderId="12" xfId="2" applyNumberFormat="1" applyFont="1" applyFill="1" applyBorder="1" applyAlignment="1" applyProtection="1">
      <alignment horizontal="center"/>
    </xf>
    <xf numFmtId="164" fontId="60" fillId="0" borderId="4" xfId="0" applyNumberFormat="1" applyFont="1" applyBorder="1" applyAlignment="1">
      <alignment horizontal="left"/>
    </xf>
    <xf numFmtId="164" fontId="56" fillId="0" borderId="0" xfId="0" applyNumberFormat="1" applyFont="1"/>
    <xf numFmtId="167" fontId="11" fillId="0" borderId="10" xfId="2" applyNumberFormat="1" applyFont="1" applyFill="1" applyBorder="1" applyAlignment="1"/>
    <xf numFmtId="167" fontId="11" fillId="0" borderId="0" xfId="2" applyNumberFormat="1" applyFont="1" applyFill="1" applyBorder="1" applyAlignment="1"/>
    <xf numFmtId="167" fontId="11" fillId="0" borderId="13" xfId="2" applyNumberFormat="1" applyFont="1" applyFill="1" applyBorder="1" applyAlignment="1"/>
    <xf numFmtId="164" fontId="55" fillId="10" borderId="10" xfId="0" applyNumberFormat="1" applyFont="1" applyFill="1" applyBorder="1"/>
    <xf numFmtId="164" fontId="11" fillId="0" borderId="14" xfId="0" applyNumberFormat="1" applyFont="1" applyBorder="1" applyAlignment="1">
      <alignment horizontal="center"/>
    </xf>
    <xf numFmtId="167" fontId="11" fillId="0" borderId="10" xfId="2" applyNumberFormat="1" applyFont="1" applyFill="1" applyBorder="1" applyAlignment="1" applyProtection="1">
      <alignment horizontal="center"/>
    </xf>
    <xf numFmtId="164" fontId="15" fillId="0" borderId="0" xfId="0" applyNumberFormat="1" applyFont="1"/>
    <xf numFmtId="164" fontId="16" fillId="0" borderId="0" xfId="0" applyNumberFormat="1" applyFont="1" applyAlignment="1">
      <alignment horizontal="center"/>
    </xf>
    <xf numFmtId="167" fontId="11" fillId="0" borderId="9" xfId="2" applyNumberFormat="1" applyFont="1" applyFill="1" applyBorder="1" applyAlignment="1"/>
    <xf numFmtId="0" fontId="0" fillId="0" borderId="3" xfId="0" applyBorder="1" applyAlignment="1">
      <alignment vertical="top"/>
    </xf>
    <xf numFmtId="164" fontId="60" fillId="0" borderId="0" xfId="0" applyNumberFormat="1" applyFont="1" applyAlignment="1">
      <alignment horizontal="left"/>
    </xf>
    <xf numFmtId="164" fontId="54" fillId="11" borderId="10" xfId="0" applyNumberFormat="1" applyFont="1" applyFill="1" applyBorder="1"/>
    <xf numFmtId="164" fontId="11" fillId="11" borderId="13" xfId="0" applyNumberFormat="1" applyFont="1" applyFill="1" applyBorder="1"/>
    <xf numFmtId="167" fontId="11" fillId="0" borderId="15" xfId="2" applyNumberFormat="1" applyFont="1" applyFill="1" applyBorder="1" applyAlignment="1"/>
    <xf numFmtId="164" fontId="54" fillId="11" borderId="16" xfId="0" applyNumberFormat="1" applyFont="1" applyFill="1" applyBorder="1"/>
    <xf numFmtId="164" fontId="54" fillId="11" borderId="8" xfId="0" applyNumberFormat="1" applyFont="1" applyFill="1" applyBorder="1"/>
    <xf numFmtId="164" fontId="11" fillId="0" borderId="10" xfId="0" applyNumberFormat="1" applyFont="1" applyBorder="1" applyAlignment="1">
      <alignment horizontal="center"/>
    </xf>
    <xf numFmtId="167" fontId="11" fillId="0" borderId="13" xfId="2" applyNumberFormat="1" applyFont="1" applyFill="1" applyBorder="1" applyAlignment="1" applyProtection="1">
      <alignment horizontal="center"/>
    </xf>
    <xf numFmtId="164" fontId="54" fillId="12" borderId="15" xfId="0" applyNumberFormat="1" applyFont="1" applyFill="1" applyBorder="1"/>
    <xf numFmtId="164" fontId="54" fillId="12" borderId="13" xfId="0" applyNumberFormat="1" applyFont="1" applyFill="1" applyBorder="1"/>
    <xf numFmtId="164" fontId="61" fillId="0" borderId="5" xfId="0" applyNumberFormat="1" applyFont="1" applyBorder="1" applyAlignment="1">
      <alignment horizontal="center" wrapText="1"/>
    </xf>
    <xf numFmtId="164" fontId="54" fillId="12" borderId="10" xfId="0" applyNumberFormat="1" applyFont="1" applyFill="1" applyBorder="1"/>
    <xf numFmtId="167" fontId="11" fillId="0" borderId="3" xfId="2" applyNumberFormat="1" applyFont="1" applyFill="1" applyBorder="1" applyAlignment="1" applyProtection="1">
      <alignment horizontal="center"/>
    </xf>
    <xf numFmtId="164" fontId="12" fillId="0" borderId="4" xfId="0" applyNumberFormat="1" applyFont="1" applyBorder="1" applyAlignment="1">
      <alignment horizontal="left"/>
    </xf>
    <xf numFmtId="164" fontId="14" fillId="0" borderId="0" xfId="0" applyNumberFormat="1" applyFont="1" applyAlignment="1">
      <alignment horizontal="right"/>
    </xf>
    <xf numFmtId="164" fontId="17" fillId="0" borderId="4" xfId="0" applyNumberFormat="1" applyFont="1" applyBorder="1" applyAlignment="1">
      <alignment horizontal="left"/>
    </xf>
    <xf numFmtId="164" fontId="14" fillId="0" borderId="0" xfId="0" applyNumberFormat="1" applyFont="1" applyAlignment="1">
      <alignment horizontal="left"/>
    </xf>
    <xf numFmtId="164" fontId="14" fillId="0" borderId="0" xfId="0" applyNumberFormat="1" applyFont="1" applyAlignment="1">
      <alignment horizontal="center"/>
    </xf>
    <xf numFmtId="164" fontId="18" fillId="0" borderId="4" xfId="0" applyNumberFormat="1" applyFont="1" applyBorder="1" applyAlignment="1">
      <alignment horizontal="left"/>
    </xf>
    <xf numFmtId="164" fontId="19" fillId="0" borderId="0" xfId="0" applyNumberFormat="1" applyFont="1" applyAlignment="1">
      <alignment horizontal="right"/>
    </xf>
    <xf numFmtId="164" fontId="19" fillId="0" borderId="0" xfId="0" applyNumberFormat="1" applyFont="1" applyAlignment="1">
      <alignment horizontal="left"/>
    </xf>
    <xf numFmtId="0" fontId="0" fillId="0" borderId="4" xfId="0" applyBorder="1" applyAlignment="1">
      <alignment vertical="top"/>
    </xf>
    <xf numFmtId="164" fontId="11" fillId="0" borderId="0" xfId="0" applyNumberFormat="1" applyFont="1" applyAlignment="1">
      <alignment horizontal="left"/>
    </xf>
    <xf numFmtId="164" fontId="12" fillId="0" borderId="0" xfId="0" applyNumberFormat="1" applyFont="1" applyAlignment="1">
      <alignment horizontal="left"/>
    </xf>
    <xf numFmtId="164" fontId="19" fillId="0" borderId="5" xfId="0" applyNumberFormat="1" applyFont="1" applyBorder="1"/>
    <xf numFmtId="164" fontId="19" fillId="0" borderId="0" xfId="0" applyNumberFormat="1" applyFont="1"/>
    <xf numFmtId="0" fontId="0" fillId="0" borderId="16" xfId="0" applyBorder="1" applyAlignment="1">
      <alignment vertical="top"/>
    </xf>
    <xf numFmtId="164" fontId="22" fillId="0" borderId="17" xfId="0" applyNumberFormat="1" applyFont="1" applyBorder="1" applyAlignment="1">
      <alignment horizontal="right"/>
    </xf>
    <xf numFmtId="164" fontId="15" fillId="0" borderId="17" xfId="0" applyNumberFormat="1" applyFont="1" applyBorder="1" applyAlignment="1">
      <alignment horizontal="left"/>
    </xf>
    <xf numFmtId="0" fontId="0" fillId="0" borderId="17" xfId="0" applyBorder="1"/>
    <xf numFmtId="164" fontId="12" fillId="0" borderId="17" xfId="0" applyNumberFormat="1" applyFont="1" applyBorder="1" applyAlignment="1">
      <alignment horizontal="left"/>
    </xf>
    <xf numFmtId="164" fontId="11" fillId="0" borderId="17" xfId="0" applyNumberFormat="1" applyFont="1" applyBorder="1"/>
    <xf numFmtId="164" fontId="14" fillId="0" borderId="17" xfId="0" applyNumberFormat="1" applyFont="1" applyBorder="1"/>
    <xf numFmtId="164" fontId="61" fillId="0" borderId="9" xfId="0" applyNumberFormat="1" applyFont="1" applyBorder="1" applyAlignment="1">
      <alignment horizontal="center" wrapText="1"/>
    </xf>
    <xf numFmtId="0" fontId="52" fillId="13" borderId="4" xfId="0" applyFont="1" applyFill="1" applyBorder="1" applyAlignment="1">
      <alignment horizontal="center"/>
    </xf>
    <xf numFmtId="0" fontId="52" fillId="13" borderId="0" xfId="0" applyFont="1" applyFill="1" applyAlignment="1">
      <alignment horizontal="center"/>
    </xf>
    <xf numFmtId="0" fontId="52" fillId="13" borderId="0" xfId="0" applyFont="1" applyFill="1"/>
    <xf numFmtId="0" fontId="52" fillId="13" borderId="5" xfId="0" applyFont="1" applyFill="1" applyBorder="1" applyAlignment="1">
      <alignment horizontal="center"/>
    </xf>
    <xf numFmtId="0" fontId="0" fillId="0" borderId="0" xfId="0" applyAlignment="1">
      <alignment horizontal="center" vertical="top"/>
    </xf>
    <xf numFmtId="0" fontId="33" fillId="0" borderId="0" xfId="0" applyFont="1" applyAlignment="1">
      <alignment horizontal="center" vertical="top"/>
    </xf>
    <xf numFmtId="0" fontId="34" fillId="0" borderId="0" xfId="0" applyFont="1" applyAlignment="1">
      <alignment horizontal="center" vertical="top"/>
    </xf>
    <xf numFmtId="0" fontId="35" fillId="0" borderId="0" xfId="0" applyFont="1" applyAlignment="1">
      <alignment horizontal="center" vertical="top"/>
    </xf>
    <xf numFmtId="0" fontId="36" fillId="0" borderId="0" xfId="0" applyFont="1" applyAlignment="1">
      <alignment horizontal="center" vertical="top"/>
    </xf>
    <xf numFmtId="0" fontId="37" fillId="0" borderId="0" xfId="0" applyFont="1" applyAlignment="1">
      <alignment horizontal="center" vertical="top"/>
    </xf>
    <xf numFmtId="0" fontId="0" fillId="0" borderId="4" xfId="0" applyBorder="1" applyAlignment="1">
      <alignment horizontal="center" vertical="top"/>
    </xf>
    <xf numFmtId="14" fontId="62" fillId="0" borderId="0" xfId="0" applyNumberFormat="1" applyFont="1" applyAlignment="1">
      <alignment horizontal="center" vertical="top"/>
    </xf>
    <xf numFmtId="0" fontId="62" fillId="0" borderId="0" xfId="0" applyFont="1" applyAlignment="1">
      <alignment horizontal="center" vertical="top"/>
    </xf>
    <xf numFmtId="0" fontId="62" fillId="0" borderId="0" xfId="0" applyFont="1" applyAlignment="1">
      <alignment horizontal="left" vertical="top"/>
    </xf>
    <xf numFmtId="4" fontId="62" fillId="0" borderId="0" xfId="0" applyNumberFormat="1" applyFont="1" applyAlignment="1">
      <alignment horizontal="center" vertical="top"/>
    </xf>
    <xf numFmtId="0" fontId="63" fillId="0" borderId="5" xfId="0" applyFont="1" applyBorder="1" applyAlignment="1">
      <alignment horizontal="center" vertical="top"/>
    </xf>
    <xf numFmtId="0" fontId="52" fillId="13" borderId="4" xfId="0" applyFont="1" applyFill="1" applyBorder="1"/>
    <xf numFmtId="0" fontId="52" fillId="13" borderId="5" xfId="0" applyFont="1" applyFill="1" applyBorder="1"/>
    <xf numFmtId="10" fontId="62" fillId="0" borderId="0" xfId="0" applyNumberFormat="1" applyFont="1" applyAlignment="1">
      <alignment horizontal="center" vertical="top"/>
    </xf>
    <xf numFmtId="0" fontId="62" fillId="0" borderId="5" xfId="0" applyFont="1" applyBorder="1" applyAlignment="1">
      <alignment horizontal="center" vertical="top"/>
    </xf>
    <xf numFmtId="164" fontId="3" fillId="0" borderId="4" xfId="0" applyNumberFormat="1" applyFont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164" fontId="3" fillId="0" borderId="5" xfId="0" applyNumberFormat="1" applyFont="1" applyBorder="1" applyAlignment="1">
      <alignment horizontal="center"/>
    </xf>
    <xf numFmtId="0" fontId="41" fillId="14" borderId="0" xfId="0" applyFont="1" applyFill="1" applyAlignment="1">
      <alignment horizontal="center"/>
    </xf>
    <xf numFmtId="0" fontId="33" fillId="0" borderId="0" xfId="0" applyFont="1"/>
    <xf numFmtId="0" fontId="34" fillId="0" borderId="0" xfId="0" applyFont="1"/>
    <xf numFmtId="0" fontId="35" fillId="0" borderId="0" xfId="0" applyFont="1"/>
    <xf numFmtId="0" fontId="36" fillId="0" borderId="0" xfId="0" applyFont="1"/>
    <xf numFmtId="0" fontId="37" fillId="0" borderId="0" xfId="0" applyFont="1"/>
    <xf numFmtId="14" fontId="41" fillId="14" borderId="0" xfId="0" applyNumberFormat="1" applyFont="1" applyFill="1" applyAlignment="1">
      <alignment horizontal="center"/>
    </xf>
    <xf numFmtId="164" fontId="1" fillId="0" borderId="6" xfId="0" applyNumberFormat="1" applyFont="1" applyBorder="1" applyProtection="1">
      <protection hidden="1"/>
    </xf>
    <xf numFmtId="164" fontId="1" fillId="0" borderId="18" xfId="0" applyNumberFormat="1" applyFont="1" applyBorder="1" applyAlignment="1">
      <alignment horizontal="left"/>
    </xf>
    <xf numFmtId="43" fontId="1" fillId="0" borderId="6" xfId="1" applyFont="1" applyBorder="1" applyProtection="1">
      <protection hidden="1"/>
    </xf>
    <xf numFmtId="170" fontId="64" fillId="0" borderId="0" xfId="0" applyNumberFormat="1" applyFont="1" applyAlignment="1">
      <alignment horizontal="center"/>
    </xf>
    <xf numFmtId="43" fontId="65" fillId="0" borderId="0" xfId="1" applyFont="1" applyBorder="1" applyAlignment="1">
      <alignment horizontal="center"/>
    </xf>
    <xf numFmtId="43" fontId="65" fillId="0" borderId="0" xfId="1" applyFont="1" applyBorder="1" applyAlignment="1">
      <alignment horizontal="left"/>
    </xf>
    <xf numFmtId="167" fontId="65" fillId="0" borderId="0" xfId="1" applyNumberFormat="1" applyFont="1" applyBorder="1"/>
    <xf numFmtId="167" fontId="0" fillId="0" borderId="0" xfId="0" applyNumberFormat="1"/>
    <xf numFmtId="0" fontId="0" fillId="0" borderId="7" xfId="0" applyBorder="1"/>
    <xf numFmtId="0" fontId="50" fillId="0" borderId="0" xfId="0" applyFont="1"/>
    <xf numFmtId="0" fontId="66" fillId="0" borderId="0" xfId="0" applyFont="1"/>
    <xf numFmtId="0" fontId="67" fillId="0" borderId="0" xfId="0" applyFont="1"/>
    <xf numFmtId="0" fontId="68" fillId="0" borderId="0" xfId="0" applyFont="1"/>
    <xf numFmtId="0" fontId="51" fillId="0" borderId="0" xfId="0" applyFont="1"/>
    <xf numFmtId="0" fontId="69" fillId="0" borderId="0" xfId="0" applyFont="1"/>
    <xf numFmtId="0" fontId="70" fillId="0" borderId="0" xfId="0" applyFont="1"/>
    <xf numFmtId="0" fontId="41" fillId="14" borderId="0" xfId="0" applyFont="1" applyFill="1" applyAlignment="1">
      <alignment horizontal="center" wrapText="1"/>
    </xf>
    <xf numFmtId="171" fontId="48" fillId="0" borderId="19" xfId="0" applyNumberFormat="1" applyFont="1" applyBorder="1"/>
    <xf numFmtId="170" fontId="50" fillId="0" borderId="20" xfId="0" applyNumberFormat="1" applyFont="1" applyBorder="1" applyAlignment="1">
      <alignment horizontal="center"/>
    </xf>
    <xf numFmtId="170" fontId="50" fillId="0" borderId="20" xfId="0" applyNumberFormat="1" applyFont="1" applyBorder="1" applyAlignment="1">
      <alignment horizontal="left"/>
    </xf>
    <xf numFmtId="43" fontId="50" fillId="0" borderId="6" xfId="1" applyFont="1" applyBorder="1" applyAlignment="1">
      <alignment horizontal="right"/>
    </xf>
    <xf numFmtId="43" fontId="50" fillId="0" borderId="18" xfId="1" applyFont="1" applyBorder="1" applyAlignment="1">
      <alignment horizontal="right"/>
    </xf>
    <xf numFmtId="167" fontId="50" fillId="0" borderId="18" xfId="1" applyNumberFormat="1" applyFont="1" applyBorder="1"/>
    <xf numFmtId="0" fontId="50" fillId="0" borderId="19" xfId="0" applyFont="1" applyBorder="1"/>
    <xf numFmtId="170" fontId="71" fillId="0" borderId="0" xfId="0" applyNumberFormat="1" applyFont="1" applyAlignment="1">
      <alignment horizontal="center"/>
    </xf>
    <xf numFmtId="170" fontId="71" fillId="0" borderId="0" xfId="0" applyNumberFormat="1" applyFont="1" applyAlignment="1">
      <alignment horizontal="left"/>
    </xf>
    <xf numFmtId="43" fontId="50" fillId="0" borderId="0" xfId="1" applyFont="1" applyBorder="1" applyAlignment="1">
      <alignment horizontal="left"/>
    </xf>
    <xf numFmtId="167" fontId="50" fillId="0" borderId="0" xfId="1" applyNumberFormat="1" applyFont="1" applyBorder="1"/>
    <xf numFmtId="0" fontId="50" fillId="0" borderId="7" xfId="0" applyFont="1" applyBorder="1"/>
    <xf numFmtId="0" fontId="41" fillId="14" borderId="21" xfId="0" applyFont="1" applyFill="1" applyBorder="1" applyAlignment="1">
      <alignment horizontal="center"/>
    </xf>
    <xf numFmtId="0" fontId="50" fillId="0" borderId="22" xfId="0" applyFont="1" applyBorder="1"/>
    <xf numFmtId="0" fontId="50" fillId="0" borderId="23" xfId="0" applyFont="1" applyBorder="1"/>
    <xf numFmtId="43" fontId="71" fillId="0" borderId="10" xfId="1" applyFont="1" applyBorder="1" applyAlignment="1">
      <alignment horizontal="center"/>
    </xf>
    <xf numFmtId="43" fontId="71" fillId="0" borderId="13" xfId="1" applyFont="1" applyBorder="1" applyAlignment="1">
      <alignment horizontal="center"/>
    </xf>
    <xf numFmtId="0" fontId="50" fillId="0" borderId="17" xfId="0" applyFont="1" applyBorder="1"/>
    <xf numFmtId="0" fontId="50" fillId="0" borderId="9" xfId="0" applyFont="1" applyBorder="1"/>
    <xf numFmtId="43" fontId="50" fillId="0" borderId="8" xfId="1" applyFont="1" applyBorder="1" applyAlignment="1">
      <alignment horizontal="left"/>
    </xf>
    <xf numFmtId="0" fontId="50" fillId="0" borderId="16" xfId="0" applyFont="1" applyBorder="1"/>
    <xf numFmtId="167" fontId="50" fillId="0" borderId="17" xfId="1" applyNumberFormat="1" applyFont="1" applyBorder="1"/>
    <xf numFmtId="0" fontId="50" fillId="0" borderId="21" xfId="0" applyFont="1" applyBorder="1"/>
    <xf numFmtId="170" fontId="64" fillId="0" borderId="4" xfId="0" applyNumberFormat="1" applyFont="1" applyBorder="1" applyAlignment="1">
      <alignment horizontal="center"/>
    </xf>
    <xf numFmtId="167" fontId="65" fillId="0" borderId="5" xfId="1" applyNumberFormat="1" applyFont="1" applyBorder="1"/>
    <xf numFmtId="164" fontId="72" fillId="3" borderId="46" xfId="0" applyNumberFormat="1" applyFont="1" applyFill="1" applyBorder="1" applyAlignment="1">
      <alignment horizontal="left"/>
    </xf>
    <xf numFmtId="164" fontId="72" fillId="3" borderId="0" xfId="0" applyNumberFormat="1" applyFont="1" applyFill="1" applyAlignment="1">
      <alignment horizontal="left"/>
    </xf>
    <xf numFmtId="164" fontId="23" fillId="15" borderId="54" xfId="0" applyNumberFormat="1" applyFont="1" applyFill="1" applyBorder="1" applyAlignment="1">
      <alignment horizontal="center"/>
    </xf>
    <xf numFmtId="164" fontId="23" fillId="15" borderId="55" xfId="0" applyNumberFormat="1" applyFont="1" applyFill="1" applyBorder="1" applyAlignment="1">
      <alignment horizontal="left"/>
    </xf>
    <xf numFmtId="164" fontId="23" fillId="15" borderId="56" xfId="0" applyNumberFormat="1" applyFont="1" applyFill="1" applyBorder="1" applyAlignment="1">
      <alignment horizontal="left"/>
    </xf>
    <xf numFmtId="164" fontId="23" fillId="15" borderId="52" xfId="0" applyNumberFormat="1" applyFont="1" applyFill="1" applyBorder="1" applyAlignment="1">
      <alignment horizontal="center"/>
    </xf>
    <xf numFmtId="164" fontId="23" fillId="15" borderId="57" xfId="0" applyNumberFormat="1" applyFont="1" applyFill="1" applyBorder="1" applyAlignment="1">
      <alignment horizontal="center"/>
    </xf>
    <xf numFmtId="164" fontId="23" fillId="15" borderId="57" xfId="0" applyNumberFormat="1" applyFont="1" applyFill="1" applyBorder="1" applyAlignment="1">
      <alignment horizontal="left"/>
    </xf>
    <xf numFmtId="164" fontId="73" fillId="16" borderId="58" xfId="0" applyNumberFormat="1" applyFont="1" applyFill="1" applyBorder="1" applyAlignment="1">
      <alignment horizontal="right"/>
    </xf>
    <xf numFmtId="43" fontId="74" fillId="16" borderId="59" xfId="2" applyFont="1" applyFill="1" applyBorder="1" applyAlignment="1">
      <alignment horizontal="right"/>
    </xf>
    <xf numFmtId="164" fontId="72" fillId="0" borderId="0" xfId="0" applyNumberFormat="1" applyFont="1" applyAlignment="1">
      <alignment horizontal="left"/>
    </xf>
    <xf numFmtId="37" fontId="24" fillId="0" borderId="24" xfId="0" applyNumberFormat="1" applyFont="1" applyBorder="1"/>
    <xf numFmtId="37" fontId="24" fillId="0" borderId="25" xfId="0" applyNumberFormat="1" applyFont="1" applyBorder="1"/>
    <xf numFmtId="37" fontId="24" fillId="17" borderId="19" xfId="0" applyNumberFormat="1" applyFont="1" applyFill="1" applyBorder="1"/>
    <xf numFmtId="167" fontId="24" fillId="0" borderId="26" xfId="2" applyNumberFormat="1" applyFont="1" applyBorder="1"/>
    <xf numFmtId="164" fontId="25" fillId="0" borderId="19" xfId="0" applyNumberFormat="1" applyFont="1" applyBorder="1"/>
    <xf numFmtId="164" fontId="73" fillId="0" borderId="19" xfId="0" applyNumberFormat="1" applyFont="1" applyBorder="1"/>
    <xf numFmtId="43" fontId="74" fillId="0" borderId="27" xfId="2" applyFont="1" applyBorder="1"/>
    <xf numFmtId="2" fontId="0" fillId="0" borderId="0" xfId="0" applyNumberFormat="1"/>
    <xf numFmtId="37" fontId="24" fillId="0" borderId="28" xfId="0" applyNumberFormat="1" applyFont="1" applyBorder="1"/>
    <xf numFmtId="37" fontId="24" fillId="0" borderId="20" xfId="0" applyNumberFormat="1" applyFont="1" applyBorder="1"/>
    <xf numFmtId="37" fontId="24" fillId="17" borderId="6" xfId="0" applyNumberFormat="1" applyFont="1" applyFill="1" applyBorder="1"/>
    <xf numFmtId="167" fontId="24" fillId="0" borderId="18" xfId="2" applyNumberFormat="1" applyFont="1" applyBorder="1"/>
    <xf numFmtId="164" fontId="73" fillId="0" borderId="6" xfId="0" applyNumberFormat="1" applyFont="1" applyBorder="1"/>
    <xf numFmtId="43" fontId="74" fillId="0" borderId="29" xfId="2" applyFont="1" applyBorder="1"/>
    <xf numFmtId="172" fontId="28" fillId="0" borderId="0" xfId="1" applyNumberFormat="1" applyFont="1"/>
    <xf numFmtId="37" fontId="24" fillId="0" borderId="30" xfId="0" applyNumberFormat="1" applyFont="1" applyBorder="1"/>
    <xf numFmtId="37" fontId="24" fillId="0" borderId="31" xfId="0" applyNumberFormat="1" applyFont="1" applyBorder="1"/>
    <xf numFmtId="164" fontId="26" fillId="0" borderId="32" xfId="0" applyNumberFormat="1" applyFont="1" applyBorder="1"/>
    <xf numFmtId="167" fontId="24" fillId="0" borderId="32" xfId="2" applyNumberFormat="1" applyFont="1" applyBorder="1"/>
    <xf numFmtId="164" fontId="25" fillId="0" borderId="33" xfId="0" applyNumberFormat="1" applyFont="1" applyBorder="1"/>
    <xf numFmtId="164" fontId="73" fillId="0" borderId="33" xfId="0" applyNumberFormat="1" applyFont="1" applyBorder="1"/>
    <xf numFmtId="43" fontId="74" fillId="0" borderId="34" xfId="2" applyFont="1" applyBorder="1"/>
    <xf numFmtId="164" fontId="23" fillId="15" borderId="60" xfId="0" applyNumberFormat="1" applyFont="1" applyFill="1" applyBorder="1" applyAlignment="1">
      <alignment horizontal="left"/>
    </xf>
    <xf numFmtId="164" fontId="23" fillId="15" borderId="61" xfId="0" applyNumberFormat="1" applyFont="1" applyFill="1" applyBorder="1" applyAlignment="1">
      <alignment horizontal="left"/>
    </xf>
    <xf numFmtId="164" fontId="23" fillId="15" borderId="62" xfId="0" applyNumberFormat="1" applyFont="1" applyFill="1" applyBorder="1" applyAlignment="1">
      <alignment horizontal="center"/>
    </xf>
    <xf numFmtId="164" fontId="23" fillId="15" borderId="62" xfId="0" applyNumberFormat="1" applyFont="1" applyFill="1" applyBorder="1" applyAlignment="1">
      <alignment horizontal="left"/>
    </xf>
    <xf numFmtId="164" fontId="23" fillId="15" borderId="63" xfId="0" applyNumberFormat="1" applyFont="1" applyFill="1" applyBorder="1" applyAlignment="1">
      <alignment horizontal="left"/>
    </xf>
    <xf numFmtId="164" fontId="23" fillId="15" borderId="64" xfId="0" applyNumberFormat="1" applyFont="1" applyFill="1" applyBorder="1" applyAlignment="1">
      <alignment horizontal="left"/>
    </xf>
    <xf numFmtId="164" fontId="73" fillId="16" borderId="61" xfId="0" applyNumberFormat="1" applyFont="1" applyFill="1" applyBorder="1"/>
    <xf numFmtId="43" fontId="74" fillId="16" borderId="65" xfId="2" applyFont="1" applyFill="1" applyBorder="1"/>
    <xf numFmtId="164" fontId="73" fillId="16" borderId="62" xfId="0" applyNumberFormat="1" applyFont="1" applyFill="1" applyBorder="1"/>
    <xf numFmtId="43" fontId="28" fillId="0" borderId="0" xfId="1" applyFont="1"/>
    <xf numFmtId="37" fontId="0" fillId="0" borderId="0" xfId="0" applyNumberFormat="1"/>
    <xf numFmtId="164" fontId="25" fillId="0" borderId="6" xfId="0" applyNumberFormat="1" applyFont="1" applyBorder="1"/>
    <xf numFmtId="3" fontId="0" fillId="0" borderId="0" xfId="0" applyNumberFormat="1"/>
    <xf numFmtId="172" fontId="24" fillId="17" borderId="19" xfId="2" applyNumberFormat="1" applyFont="1" applyFill="1" applyBorder="1"/>
    <xf numFmtId="37" fontId="24" fillId="17" borderId="32" xfId="0" applyNumberFormat="1" applyFont="1" applyFill="1" applyBorder="1"/>
    <xf numFmtId="167" fontId="24" fillId="17" borderId="6" xfId="2" applyNumberFormat="1" applyFont="1" applyFill="1" applyBorder="1"/>
    <xf numFmtId="3" fontId="27" fillId="17" borderId="6" xfId="0" applyNumberFormat="1" applyFont="1" applyFill="1" applyBorder="1" applyAlignment="1">
      <alignment horizontal="right"/>
    </xf>
    <xf numFmtId="164" fontId="26" fillId="0" borderId="35" xfId="0" applyNumberFormat="1" applyFont="1" applyBorder="1"/>
    <xf numFmtId="164" fontId="26" fillId="0" borderId="0" xfId="0" applyNumberFormat="1" applyFont="1"/>
    <xf numFmtId="164" fontId="26" fillId="0" borderId="22" xfId="0" applyNumberFormat="1" applyFont="1" applyBorder="1"/>
    <xf numFmtId="164" fontId="25" fillId="0" borderId="36" xfId="0" applyNumberFormat="1" applyFont="1" applyBorder="1"/>
    <xf numFmtId="164" fontId="73" fillId="0" borderId="36" xfId="0" applyNumberFormat="1" applyFont="1" applyBorder="1"/>
    <xf numFmtId="43" fontId="74" fillId="0" borderId="37" xfId="2" applyFont="1" applyBorder="1"/>
    <xf numFmtId="164" fontId="23" fillId="15" borderId="66" xfId="0" applyNumberFormat="1" applyFont="1" applyFill="1" applyBorder="1" applyAlignment="1">
      <alignment horizontal="left"/>
    </xf>
    <xf numFmtId="37" fontId="24" fillId="0" borderId="35" xfId="0" applyNumberFormat="1" applyFont="1" applyBorder="1"/>
    <xf numFmtId="37" fontId="24" fillId="0" borderId="6" xfId="0" applyNumberFormat="1" applyFont="1" applyBorder="1"/>
    <xf numFmtId="167" fontId="24" fillId="0" borderId="6" xfId="2" applyNumberFormat="1" applyFont="1" applyBorder="1"/>
    <xf numFmtId="37" fontId="24" fillId="17" borderId="18" xfId="0" applyNumberFormat="1" applyFont="1" applyFill="1" applyBorder="1"/>
    <xf numFmtId="164" fontId="26" fillId="0" borderId="18" xfId="0" applyNumberFormat="1" applyFont="1" applyBorder="1"/>
    <xf numFmtId="37" fontId="24" fillId="0" borderId="23" xfId="0" applyNumberFormat="1" applyFont="1" applyBorder="1"/>
    <xf numFmtId="37" fontId="24" fillId="17" borderId="36" xfId="0" applyNumberFormat="1" applyFont="1" applyFill="1" applyBorder="1"/>
    <xf numFmtId="164" fontId="75" fillId="2" borderId="38" xfId="0" applyNumberFormat="1" applyFont="1" applyFill="1" applyBorder="1"/>
    <xf numFmtId="164" fontId="75" fillId="2" borderId="39" xfId="0" applyNumberFormat="1" applyFont="1" applyFill="1" applyBorder="1"/>
    <xf numFmtId="167" fontId="76" fillId="2" borderId="40" xfId="2" applyNumberFormat="1" applyFont="1" applyFill="1" applyBorder="1"/>
    <xf numFmtId="167" fontId="76" fillId="2" borderId="41" xfId="2" applyNumberFormat="1" applyFont="1" applyFill="1" applyBorder="1"/>
    <xf numFmtId="164" fontId="41" fillId="3" borderId="1" xfId="0" applyNumberFormat="1" applyFont="1" applyFill="1" applyBorder="1" applyAlignment="1">
      <alignment horizontal="center"/>
    </xf>
    <xf numFmtId="164" fontId="41" fillId="3" borderId="2" xfId="0" applyNumberFormat="1" applyFont="1" applyFill="1" applyBorder="1" applyAlignment="1">
      <alignment horizontal="center"/>
    </xf>
    <xf numFmtId="164" fontId="41" fillId="3" borderId="3" xfId="0" applyNumberFormat="1" applyFont="1" applyFill="1" applyBorder="1" applyAlignment="1">
      <alignment horizontal="center"/>
    </xf>
    <xf numFmtId="164" fontId="3" fillId="5" borderId="4" xfId="0" applyNumberFormat="1" applyFont="1" applyFill="1" applyBorder="1" applyAlignment="1">
      <alignment horizontal="center"/>
    </xf>
    <xf numFmtId="164" fontId="3" fillId="5" borderId="0" xfId="0" applyNumberFormat="1" applyFont="1" applyFill="1" applyAlignment="1">
      <alignment horizontal="center"/>
    </xf>
    <xf numFmtId="164" fontId="3" fillId="5" borderId="5" xfId="0" applyNumberFormat="1" applyFont="1" applyFill="1" applyBorder="1" applyAlignment="1">
      <alignment horizontal="center"/>
    </xf>
    <xf numFmtId="164" fontId="3" fillId="6" borderId="4" xfId="0" applyNumberFormat="1" applyFont="1" applyFill="1" applyBorder="1" applyAlignment="1">
      <alignment horizontal="center"/>
    </xf>
    <xf numFmtId="164" fontId="3" fillId="6" borderId="0" xfId="0" applyNumberFormat="1" applyFont="1" applyFill="1" applyAlignment="1">
      <alignment horizontal="center"/>
    </xf>
    <xf numFmtId="164" fontId="3" fillId="6" borderId="5" xfId="0" applyNumberFormat="1" applyFont="1" applyFill="1" applyBorder="1" applyAlignment="1">
      <alignment horizontal="center"/>
    </xf>
    <xf numFmtId="164" fontId="3" fillId="0" borderId="4" xfId="0" applyNumberFormat="1" applyFont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164" fontId="3" fillId="0" borderId="5" xfId="0" applyNumberFormat="1" applyFont="1" applyBorder="1" applyAlignment="1">
      <alignment horizontal="center"/>
    </xf>
    <xf numFmtId="0" fontId="41" fillId="14" borderId="4" xfId="0" applyFont="1" applyFill="1" applyBorder="1" applyAlignment="1">
      <alignment horizontal="center"/>
    </xf>
    <xf numFmtId="0" fontId="65" fillId="18" borderId="26" xfId="0" applyFont="1" applyFill="1" applyBorder="1" applyAlignment="1">
      <alignment horizontal="center"/>
    </xf>
    <xf numFmtId="0" fontId="65" fillId="18" borderId="42" xfId="0" applyFont="1" applyFill="1" applyBorder="1" applyAlignment="1">
      <alignment horizontal="center"/>
    </xf>
    <xf numFmtId="0" fontId="65" fillId="18" borderId="0" xfId="0" applyFont="1" applyFill="1" applyAlignment="1">
      <alignment horizontal="center"/>
    </xf>
    <xf numFmtId="0" fontId="65" fillId="18" borderId="23" xfId="0" applyFont="1" applyFill="1" applyBorder="1" applyAlignment="1">
      <alignment horizontal="center"/>
    </xf>
  </cellXfs>
  <cellStyles count="5">
    <cellStyle name="Comma" xfId="1" builtinId="3"/>
    <cellStyle name="Comma 2" xfId="2" xr:uid="{534CF89B-7BD1-48A7-AA3F-D1DA9084E84A}"/>
    <cellStyle name="Hyperlink" xfId="3" builtinId="8"/>
    <cellStyle name="Normal" xfId="0" builtinId="0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www.nse.co.ke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0</xdr:colOff>
      <xdr:row>2</xdr:row>
      <xdr:rowOff>0</xdr:rowOff>
    </xdr:to>
    <xdr:pic>
      <xdr:nvPicPr>
        <xdr:cNvPr id="1034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EA86408-61DF-D83B-7EDE-D8CD3FAC2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200400" cy="19113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DCB03-8F93-421B-AAAA-6C34E35E0139}">
  <dimension ref="A1:IV182"/>
  <sheetViews>
    <sheetView zoomScale="44" zoomScaleNormal="44" workbookViewId="0">
      <selection activeCell="R1" sqref="R1"/>
    </sheetView>
  </sheetViews>
  <sheetFormatPr defaultColWidth="9.1796875" defaultRowHeight="21" x14ac:dyDescent="0.35"/>
  <cols>
    <col min="1" max="1" width="22.81640625" style="10" customWidth="1"/>
    <col min="2" max="2" width="23" style="10" customWidth="1"/>
    <col min="3" max="3" width="102.90625" style="10" customWidth="1"/>
    <col min="4" max="4" width="33.1796875" style="10" customWidth="1"/>
    <col min="5" max="7" width="25.81640625" style="10" customWidth="1"/>
    <col min="8" max="8" width="36.1796875" style="10" customWidth="1"/>
    <col min="9" max="9" width="31.1796875" style="10" customWidth="1"/>
    <col min="10" max="10" width="35.54296875" style="10" bestFit="1" customWidth="1"/>
    <col min="11" max="11" width="45.54296875" style="10" customWidth="1"/>
    <col min="12" max="12" width="39.54296875" style="10" customWidth="1"/>
    <col min="13" max="13" width="8.81640625" style="10" bestFit="1" customWidth="1"/>
    <col min="14" max="14" width="9.1796875" style="10"/>
    <col min="15" max="15" width="12.81640625" style="11" bestFit="1" customWidth="1"/>
    <col min="16" max="16" width="9.1796875" style="10"/>
    <col min="17" max="17" width="13.453125" style="10" customWidth="1"/>
    <col min="18" max="19" width="13.453125" style="12" customWidth="1"/>
    <col min="20" max="20" width="13.453125" style="13" customWidth="1"/>
    <col min="21" max="22" width="13.453125" style="14" customWidth="1"/>
    <col min="23" max="23" width="13.453125" style="13" customWidth="1"/>
    <col min="24" max="24" width="13.453125" style="15" customWidth="1"/>
    <col min="25" max="25" width="13.453125" style="10" customWidth="1"/>
    <col min="26" max="26" width="66" style="10" customWidth="1"/>
    <col min="27" max="27" width="38" style="10" customWidth="1"/>
    <col min="28" max="16384" width="9.1796875" style="10"/>
  </cols>
  <sheetData>
    <row r="1" spans="1:27" ht="74.150000000000006" customHeight="1" x14ac:dyDescent="0.6">
      <c r="A1" s="1"/>
      <c r="B1" s="2" t="s">
        <v>0</v>
      </c>
      <c r="C1" s="3"/>
      <c r="D1" s="4" t="s">
        <v>0</v>
      </c>
      <c r="E1" s="5"/>
      <c r="F1" s="5"/>
      <c r="G1" s="5"/>
      <c r="H1" s="6"/>
      <c r="I1" s="2"/>
      <c r="J1" s="7"/>
      <c r="K1" s="8">
        <v>46252</v>
      </c>
      <c r="L1" s="9"/>
    </row>
    <row r="2" spans="1:27" ht="76.5" customHeight="1" thickBot="1" x14ac:dyDescent="0.9">
      <c r="A2" s="16"/>
      <c r="B2" s="17"/>
      <c r="C2" s="18" t="s">
        <v>1</v>
      </c>
      <c r="D2" s="19"/>
      <c r="E2" s="20"/>
      <c r="F2" s="20"/>
      <c r="G2" s="20"/>
      <c r="H2" s="21"/>
      <c r="I2" s="22"/>
      <c r="J2" s="23"/>
      <c r="K2" s="24"/>
      <c r="L2" s="25"/>
    </row>
    <row r="3" spans="1:27" ht="32.5" x14ac:dyDescent="0.85">
      <c r="A3" s="26" t="s">
        <v>2</v>
      </c>
      <c r="B3" s="27" t="s">
        <v>3</v>
      </c>
      <c r="C3" s="28"/>
      <c r="D3" s="29" t="s">
        <v>4</v>
      </c>
      <c r="E3" s="30" t="s">
        <v>5</v>
      </c>
      <c r="F3" s="30"/>
      <c r="G3" s="30"/>
      <c r="H3" s="29" t="s">
        <v>6</v>
      </c>
      <c r="I3" s="29" t="s">
        <v>7</v>
      </c>
      <c r="J3" s="31" t="s">
        <v>8</v>
      </c>
      <c r="K3" s="32" t="s">
        <v>9</v>
      </c>
      <c r="L3" s="33"/>
    </row>
    <row r="4" spans="1:27" ht="30.75" customHeight="1" thickBot="1" x14ac:dyDescent="0.9">
      <c r="A4" s="34"/>
      <c r="B4" s="35"/>
      <c r="C4" s="36" t="s">
        <v>10</v>
      </c>
      <c r="D4" s="36" t="s">
        <v>11</v>
      </c>
      <c r="E4" s="37" t="s">
        <v>12</v>
      </c>
      <c r="F4" s="37" t="s">
        <v>13</v>
      </c>
      <c r="G4" s="37" t="s">
        <v>14</v>
      </c>
      <c r="H4" s="38"/>
      <c r="I4" s="39"/>
      <c r="J4" s="40"/>
      <c r="K4" s="32" t="s">
        <v>15</v>
      </c>
      <c r="L4" s="36" t="s">
        <v>16</v>
      </c>
      <c r="M4" s="41" t="s">
        <v>8</v>
      </c>
      <c r="N4" s="41" t="s">
        <v>17</v>
      </c>
      <c r="O4" s="42" t="s">
        <v>18</v>
      </c>
      <c r="R4" s="43" t="s">
        <v>19</v>
      </c>
      <c r="T4" s="44" t="s">
        <v>20</v>
      </c>
      <c r="U4" s="45" t="s">
        <v>21</v>
      </c>
      <c r="W4" s="44" t="s">
        <v>22</v>
      </c>
    </row>
    <row r="5" spans="1:27" ht="38.15" customHeight="1" x14ac:dyDescent="0.85">
      <c r="A5" s="46">
        <v>37</v>
      </c>
      <c r="B5" s="47">
        <v>10</v>
      </c>
      <c r="C5" s="48" t="s">
        <v>23</v>
      </c>
      <c r="D5" s="49" t="s">
        <v>24</v>
      </c>
      <c r="E5" s="50"/>
      <c r="F5" s="51">
        <v>28.05</v>
      </c>
      <c r="G5" s="51">
        <v>28.5</v>
      </c>
      <c r="H5" s="51">
        <v>28.5</v>
      </c>
      <c r="I5" s="51">
        <v>27.55</v>
      </c>
      <c r="J5" s="51">
        <v>28.1</v>
      </c>
      <c r="K5" s="51">
        <v>27.05</v>
      </c>
      <c r="L5" s="52">
        <v>680</v>
      </c>
      <c r="M5" s="10">
        <f t="shared" ref="M5:M27" si="0">IF(J5=0,"",J5)</f>
        <v>28.1</v>
      </c>
      <c r="N5" s="53">
        <f t="shared" ref="N5:N27" si="1">K5</f>
        <v>27.05</v>
      </c>
      <c r="O5" s="54">
        <f>IF(M5="", N5, M5)</f>
        <v>28.1</v>
      </c>
      <c r="R5" s="55">
        <f t="shared" ref="R5:R68" si="2">A5</f>
        <v>37</v>
      </c>
      <c r="S5" s="55">
        <f>H5</f>
        <v>28.5</v>
      </c>
      <c r="T5" s="56">
        <f>R5-S5</f>
        <v>8.5</v>
      </c>
      <c r="U5" s="57">
        <f t="shared" ref="U5:U25" si="3">B5</f>
        <v>10</v>
      </c>
      <c r="V5" s="57">
        <f>I5</f>
        <v>27.55</v>
      </c>
      <c r="W5" s="58">
        <f>U5-V5</f>
        <v>-17.55</v>
      </c>
    </row>
    <row r="6" spans="1:27" ht="38.15" customHeight="1" x14ac:dyDescent="0.85">
      <c r="A6" s="46">
        <v>460</v>
      </c>
      <c r="B6" s="59">
        <v>240</v>
      </c>
      <c r="C6" s="48" t="s">
        <v>25</v>
      </c>
      <c r="D6" s="49" t="s">
        <v>26</v>
      </c>
      <c r="E6" s="50"/>
      <c r="F6" s="51">
        <v>427</v>
      </c>
      <c r="G6" s="51">
        <v>430</v>
      </c>
      <c r="H6" s="51">
        <v>429</v>
      </c>
      <c r="I6" s="51">
        <v>423</v>
      </c>
      <c r="J6" s="51">
        <v>429.75</v>
      </c>
      <c r="K6" s="51">
        <v>429.75</v>
      </c>
      <c r="L6" s="52">
        <v>56</v>
      </c>
      <c r="M6" s="10">
        <f t="shared" si="0"/>
        <v>429.75</v>
      </c>
      <c r="N6" s="10">
        <f t="shared" si="1"/>
        <v>429.75</v>
      </c>
      <c r="O6" s="54">
        <f t="shared" ref="O6:O71" si="4">IF(M6="", N6, M6)</f>
        <v>429.75</v>
      </c>
      <c r="R6" s="55">
        <f t="shared" si="2"/>
        <v>460</v>
      </c>
      <c r="S6" s="55">
        <f t="shared" ref="S6:S71" si="5">H6</f>
        <v>429</v>
      </c>
      <c r="T6" s="56">
        <f t="shared" ref="T6:T71" si="6">R6-S6</f>
        <v>31</v>
      </c>
      <c r="U6" s="57">
        <f t="shared" si="3"/>
        <v>240</v>
      </c>
      <c r="V6" s="57">
        <f t="shared" ref="V6:V71" si="7">I6</f>
        <v>423</v>
      </c>
      <c r="W6" s="58">
        <f t="shared" ref="W6:W71" si="8">U6-V6</f>
        <v>-183</v>
      </c>
    </row>
    <row r="7" spans="1:27" ht="38.15" customHeight="1" x14ac:dyDescent="0.85">
      <c r="A7" s="46">
        <v>424.25</v>
      </c>
      <c r="B7" s="47">
        <v>81</v>
      </c>
      <c r="C7" s="48" t="s">
        <v>27</v>
      </c>
      <c r="D7" s="49" t="s">
        <v>28</v>
      </c>
      <c r="E7" s="50" t="s">
        <v>29</v>
      </c>
      <c r="F7" s="51">
        <v>341</v>
      </c>
      <c r="G7" s="51">
        <v>342</v>
      </c>
      <c r="H7" s="51">
        <v>345</v>
      </c>
      <c r="I7" s="51">
        <v>341</v>
      </c>
      <c r="J7" s="51">
        <v>341.5</v>
      </c>
      <c r="K7" s="51">
        <v>343.25</v>
      </c>
      <c r="L7" s="52">
        <v>4244</v>
      </c>
      <c r="M7" s="10">
        <f t="shared" si="0"/>
        <v>341.5</v>
      </c>
      <c r="N7" s="10">
        <f t="shared" si="1"/>
        <v>343.25</v>
      </c>
      <c r="O7" s="54">
        <f t="shared" si="4"/>
        <v>341.5</v>
      </c>
      <c r="R7" s="55">
        <f t="shared" si="2"/>
        <v>424.25</v>
      </c>
      <c r="S7" s="55">
        <f t="shared" si="5"/>
        <v>345</v>
      </c>
      <c r="T7" s="56">
        <f t="shared" si="6"/>
        <v>79.25</v>
      </c>
      <c r="U7" s="57">
        <f t="shared" si="3"/>
        <v>81</v>
      </c>
      <c r="V7" s="57">
        <f t="shared" si="7"/>
        <v>341</v>
      </c>
      <c r="W7" s="58">
        <f t="shared" si="8"/>
        <v>-260</v>
      </c>
    </row>
    <row r="8" spans="1:27" ht="38.15" customHeight="1" x14ac:dyDescent="0.85">
      <c r="A8" s="46">
        <v>555</v>
      </c>
      <c r="B8" s="59">
        <v>310</v>
      </c>
      <c r="C8" s="48" t="s">
        <v>30</v>
      </c>
      <c r="D8" s="49" t="s">
        <v>31</v>
      </c>
      <c r="E8" s="50"/>
      <c r="F8" s="51">
        <v>501</v>
      </c>
      <c r="G8" s="51">
        <v>529</v>
      </c>
      <c r="H8" s="51">
        <v>501</v>
      </c>
      <c r="I8" s="51">
        <v>501</v>
      </c>
      <c r="J8" s="51">
        <v>525</v>
      </c>
      <c r="K8" s="51">
        <v>525</v>
      </c>
      <c r="L8" s="52">
        <v>10</v>
      </c>
      <c r="M8" s="10">
        <f t="shared" si="0"/>
        <v>525</v>
      </c>
      <c r="N8" s="10">
        <f t="shared" si="1"/>
        <v>525</v>
      </c>
      <c r="O8" s="54">
        <f t="shared" si="4"/>
        <v>525</v>
      </c>
      <c r="R8" s="55">
        <f t="shared" si="2"/>
        <v>555</v>
      </c>
      <c r="S8" s="55">
        <f>H8</f>
        <v>501</v>
      </c>
      <c r="T8" s="56">
        <f>R8-S8</f>
        <v>54</v>
      </c>
      <c r="U8" s="57">
        <f t="shared" si="3"/>
        <v>310</v>
      </c>
      <c r="V8" s="57">
        <f t="shared" si="7"/>
        <v>501</v>
      </c>
      <c r="W8" s="58">
        <f t="shared" si="8"/>
        <v>-191</v>
      </c>
    </row>
    <row r="9" spans="1:27" ht="38.15" customHeight="1" x14ac:dyDescent="0.85">
      <c r="A9" s="60">
        <v>33.9</v>
      </c>
      <c r="B9" s="51">
        <v>13.6</v>
      </c>
      <c r="C9" s="61" t="s">
        <v>32</v>
      </c>
      <c r="D9" s="62" t="s">
        <v>33</v>
      </c>
      <c r="E9" s="63"/>
      <c r="F9" s="51">
        <v>24.3</v>
      </c>
      <c r="G9" s="51">
        <v>24.7</v>
      </c>
      <c r="H9" s="51">
        <v>24.75</v>
      </c>
      <c r="I9" s="51">
        <v>24</v>
      </c>
      <c r="J9" s="51">
        <v>24.25</v>
      </c>
      <c r="K9" s="64">
        <v>24.1</v>
      </c>
      <c r="L9" s="52">
        <v>9007</v>
      </c>
      <c r="M9" s="10">
        <f t="shared" si="0"/>
        <v>24.25</v>
      </c>
      <c r="N9" s="10">
        <f t="shared" si="1"/>
        <v>24.1</v>
      </c>
      <c r="O9" s="54">
        <f t="shared" si="4"/>
        <v>24.25</v>
      </c>
      <c r="R9" s="55">
        <f t="shared" si="2"/>
        <v>33.9</v>
      </c>
      <c r="S9" s="55">
        <f t="shared" si="5"/>
        <v>24.75</v>
      </c>
      <c r="T9" s="56">
        <f t="shared" si="6"/>
        <v>9.1499999999999986</v>
      </c>
      <c r="U9" s="57">
        <f t="shared" si="3"/>
        <v>13.6</v>
      </c>
      <c r="V9" s="57">
        <f t="shared" si="7"/>
        <v>24</v>
      </c>
      <c r="W9" s="58">
        <f t="shared" si="8"/>
        <v>-10.4</v>
      </c>
    </row>
    <row r="10" spans="1:27" ht="38.15" customHeight="1" x14ac:dyDescent="0.85">
      <c r="A10" s="46">
        <v>350</v>
      </c>
      <c r="B10" s="47">
        <v>120</v>
      </c>
      <c r="C10" s="48" t="s">
        <v>34</v>
      </c>
      <c r="D10" s="49" t="s">
        <v>35</v>
      </c>
      <c r="E10" s="50" t="s">
        <v>29</v>
      </c>
      <c r="F10" s="51">
        <v>155.5</v>
      </c>
      <c r="G10" s="51">
        <v>156</v>
      </c>
      <c r="H10" s="51">
        <v>157</v>
      </c>
      <c r="I10" s="51">
        <v>155.5</v>
      </c>
      <c r="J10" s="51">
        <v>156.25</v>
      </c>
      <c r="K10" s="51">
        <v>156.25</v>
      </c>
      <c r="L10" s="52">
        <v>20330</v>
      </c>
      <c r="M10" s="10">
        <f t="shared" si="0"/>
        <v>156.25</v>
      </c>
      <c r="N10" s="10">
        <f t="shared" si="1"/>
        <v>156.25</v>
      </c>
      <c r="O10" s="54">
        <f t="shared" si="4"/>
        <v>156.25</v>
      </c>
      <c r="R10" s="55">
        <f t="shared" si="2"/>
        <v>350</v>
      </c>
      <c r="S10" s="55">
        <f t="shared" si="5"/>
        <v>157</v>
      </c>
      <c r="T10" s="56">
        <f t="shared" si="6"/>
        <v>193</v>
      </c>
      <c r="U10" s="57">
        <f t="shared" si="3"/>
        <v>120</v>
      </c>
      <c r="V10" s="57">
        <f t="shared" si="7"/>
        <v>155.5</v>
      </c>
      <c r="W10" s="58">
        <f t="shared" si="8"/>
        <v>-35.5</v>
      </c>
      <c r="Z10" s="65"/>
    </row>
    <row r="11" spans="1:27" ht="38.15" customHeight="1" x14ac:dyDescent="0.85">
      <c r="A11" s="66"/>
      <c r="B11" s="59"/>
      <c r="C11" s="48"/>
      <c r="D11" s="49"/>
      <c r="E11" s="50"/>
      <c r="F11" s="51"/>
      <c r="G11" s="51"/>
      <c r="H11" s="51"/>
      <c r="I11" s="51"/>
      <c r="J11" s="51"/>
      <c r="K11" s="47"/>
      <c r="L11" s="52"/>
      <c r="M11" s="10" t="str">
        <f t="shared" si="0"/>
        <v/>
      </c>
      <c r="N11" s="10">
        <f t="shared" si="1"/>
        <v>0</v>
      </c>
      <c r="O11" s="54"/>
      <c r="R11" s="55">
        <f t="shared" si="2"/>
        <v>0</v>
      </c>
      <c r="S11" s="55">
        <f t="shared" si="5"/>
        <v>0</v>
      </c>
      <c r="T11" s="56">
        <f t="shared" si="6"/>
        <v>0</v>
      </c>
      <c r="U11" s="57">
        <f t="shared" si="3"/>
        <v>0</v>
      </c>
      <c r="V11" s="57">
        <f t="shared" si="7"/>
        <v>0</v>
      </c>
      <c r="W11" s="58">
        <f t="shared" si="8"/>
        <v>0</v>
      </c>
      <c r="Z11" s="65">
        <f>SUM(L5:L10)</f>
        <v>34327</v>
      </c>
      <c r="AA11" s="67" t="e">
        <f>Z11/K109</f>
        <v>#VALUE!</v>
      </c>
    </row>
    <row r="12" spans="1:27" ht="38.15" customHeight="1" x14ac:dyDescent="0.85">
      <c r="A12" s="68"/>
      <c r="B12" s="69"/>
      <c r="C12" s="70" t="s">
        <v>36</v>
      </c>
      <c r="D12" s="71"/>
      <c r="E12" s="72"/>
      <c r="F12" s="73"/>
      <c r="G12" s="73"/>
      <c r="H12" s="73"/>
      <c r="I12" s="73"/>
      <c r="J12" s="74"/>
      <c r="K12" s="75"/>
      <c r="L12" s="76"/>
      <c r="M12" s="10" t="str">
        <f t="shared" si="0"/>
        <v/>
      </c>
      <c r="N12" s="10">
        <f t="shared" si="1"/>
        <v>0</v>
      </c>
      <c r="O12" s="54"/>
      <c r="R12" s="55">
        <f t="shared" si="2"/>
        <v>0</v>
      </c>
      <c r="S12" s="55">
        <f t="shared" si="5"/>
        <v>0</v>
      </c>
      <c r="T12" s="56">
        <f t="shared" si="6"/>
        <v>0</v>
      </c>
      <c r="U12" s="57">
        <f t="shared" si="3"/>
        <v>0</v>
      </c>
      <c r="V12" s="57">
        <f t="shared" si="7"/>
        <v>0</v>
      </c>
      <c r="W12" s="58">
        <f t="shared" si="8"/>
        <v>0</v>
      </c>
    </row>
    <row r="13" spans="1:27" ht="38.15" customHeight="1" x14ac:dyDescent="0.85">
      <c r="A13" s="46">
        <v>316.75</v>
      </c>
      <c r="B13" s="47">
        <v>18.5</v>
      </c>
      <c r="C13" s="48" t="s">
        <v>37</v>
      </c>
      <c r="D13" s="49" t="s">
        <v>38</v>
      </c>
      <c r="E13" s="50" t="s">
        <v>39</v>
      </c>
      <c r="F13" s="51">
        <v>316</v>
      </c>
      <c r="G13" s="51">
        <v>316.75</v>
      </c>
      <c r="H13" s="51">
        <v>316.75</v>
      </c>
      <c r="I13" s="51">
        <v>289</v>
      </c>
      <c r="J13" s="51">
        <v>311</v>
      </c>
      <c r="K13" s="51">
        <v>288</v>
      </c>
      <c r="L13" s="52">
        <v>57886</v>
      </c>
      <c r="M13" s="10">
        <f t="shared" si="0"/>
        <v>311</v>
      </c>
      <c r="N13" s="10">
        <f t="shared" si="1"/>
        <v>288</v>
      </c>
      <c r="O13" s="54">
        <f t="shared" si="4"/>
        <v>311</v>
      </c>
      <c r="R13" s="55">
        <f t="shared" si="2"/>
        <v>316.75</v>
      </c>
      <c r="S13" s="55">
        <f t="shared" si="5"/>
        <v>316.75</v>
      </c>
      <c r="T13" s="56">
        <f t="shared" si="6"/>
        <v>0</v>
      </c>
      <c r="U13" s="57">
        <f t="shared" si="3"/>
        <v>18.5</v>
      </c>
      <c r="V13" s="57">
        <f t="shared" si="7"/>
        <v>289</v>
      </c>
      <c r="W13" s="58">
        <f t="shared" si="8"/>
        <v>-270.5</v>
      </c>
    </row>
    <row r="14" spans="1:27" ht="38.15" customHeight="1" x14ac:dyDescent="0.85">
      <c r="A14" s="46"/>
      <c r="B14" s="59"/>
      <c r="C14" s="48"/>
      <c r="D14" s="49"/>
      <c r="E14" s="50"/>
      <c r="F14" s="51"/>
      <c r="G14" s="51"/>
      <c r="H14" s="51"/>
      <c r="I14" s="51"/>
      <c r="J14" s="51"/>
      <c r="K14" s="47"/>
      <c r="L14" s="52"/>
      <c r="M14" s="10" t="str">
        <f t="shared" si="0"/>
        <v/>
      </c>
      <c r="N14" s="10">
        <f t="shared" si="1"/>
        <v>0</v>
      </c>
      <c r="O14" s="54"/>
      <c r="R14" s="55">
        <f t="shared" si="2"/>
        <v>0</v>
      </c>
      <c r="S14" s="55">
        <f t="shared" si="5"/>
        <v>0</v>
      </c>
      <c r="T14" s="56">
        <f t="shared" si="6"/>
        <v>0</v>
      </c>
      <c r="U14" s="57">
        <f t="shared" si="3"/>
        <v>0</v>
      </c>
      <c r="V14" s="57">
        <f t="shared" si="7"/>
        <v>0</v>
      </c>
      <c r="W14" s="58">
        <f t="shared" si="8"/>
        <v>0</v>
      </c>
      <c r="Z14" s="65">
        <f>SUM(L13:L38)</f>
        <v>6333793</v>
      </c>
      <c r="AA14" s="67" t="e">
        <f>Z14/$K$109</f>
        <v>#VALUE!</v>
      </c>
    </row>
    <row r="15" spans="1:27" ht="38.15" customHeight="1" x14ac:dyDescent="0.85">
      <c r="A15" s="77"/>
      <c r="B15" s="78"/>
      <c r="C15" s="70" t="s">
        <v>40</v>
      </c>
      <c r="D15" s="79"/>
      <c r="E15" s="80"/>
      <c r="F15" s="73"/>
      <c r="G15" s="73"/>
      <c r="H15" s="73"/>
      <c r="I15" s="73"/>
      <c r="J15" s="81"/>
      <c r="K15" s="82"/>
      <c r="L15" s="76"/>
      <c r="M15" s="10" t="str">
        <f t="shared" si="0"/>
        <v/>
      </c>
      <c r="N15" s="10">
        <f t="shared" si="1"/>
        <v>0</v>
      </c>
      <c r="O15" s="54"/>
      <c r="R15" s="55">
        <f t="shared" si="2"/>
        <v>0</v>
      </c>
      <c r="S15" s="55">
        <f t="shared" si="5"/>
        <v>0</v>
      </c>
      <c r="T15" s="56">
        <f t="shared" si="6"/>
        <v>0</v>
      </c>
      <c r="U15" s="57">
        <f t="shared" si="3"/>
        <v>0</v>
      </c>
      <c r="V15" s="57">
        <f t="shared" si="7"/>
        <v>0</v>
      </c>
      <c r="W15" s="58">
        <f t="shared" si="8"/>
        <v>0</v>
      </c>
      <c r="AA15" s="67"/>
    </row>
    <row r="16" spans="1:27" ht="38.15" customHeight="1" x14ac:dyDescent="0.85">
      <c r="A16" s="46">
        <v>34.6</v>
      </c>
      <c r="B16" s="47">
        <v>15</v>
      </c>
      <c r="C16" s="48" t="s">
        <v>41</v>
      </c>
      <c r="D16" s="49" t="s">
        <v>42</v>
      </c>
      <c r="E16" s="50" t="s">
        <v>39</v>
      </c>
      <c r="F16" s="51">
        <v>34</v>
      </c>
      <c r="G16" s="51">
        <v>34.450000000000003</v>
      </c>
      <c r="H16" s="51">
        <v>34.5</v>
      </c>
      <c r="I16" s="51">
        <v>33.950000000000003</v>
      </c>
      <c r="J16" s="51">
        <v>34.35</v>
      </c>
      <c r="K16" s="51">
        <v>34.15</v>
      </c>
      <c r="L16" s="52">
        <v>1080630</v>
      </c>
      <c r="M16" s="10">
        <f t="shared" si="0"/>
        <v>34.35</v>
      </c>
      <c r="N16" s="53">
        <f t="shared" si="1"/>
        <v>34.15</v>
      </c>
      <c r="O16" s="54">
        <f t="shared" si="4"/>
        <v>34.35</v>
      </c>
      <c r="P16" s="83"/>
      <c r="R16" s="55">
        <f t="shared" si="2"/>
        <v>34.6</v>
      </c>
      <c r="S16" s="55">
        <f t="shared" si="5"/>
        <v>34.5</v>
      </c>
      <c r="T16" s="56">
        <f t="shared" si="6"/>
        <v>0.10000000000000142</v>
      </c>
      <c r="U16" s="57">
        <f t="shared" si="3"/>
        <v>15</v>
      </c>
      <c r="V16" s="57">
        <f t="shared" si="7"/>
        <v>33.950000000000003</v>
      </c>
      <c r="W16" s="58">
        <f t="shared" si="8"/>
        <v>-18.950000000000003</v>
      </c>
      <c r="AA16" s="67"/>
    </row>
    <row r="17" spans="1:27" ht="38.15" customHeight="1" x14ac:dyDescent="0.85">
      <c r="A17" s="46">
        <v>63.5</v>
      </c>
      <c r="B17" s="47">
        <v>28.75</v>
      </c>
      <c r="C17" s="48" t="s">
        <v>43</v>
      </c>
      <c r="D17" s="49" t="s">
        <v>44</v>
      </c>
      <c r="E17" s="50"/>
      <c r="F17" s="51">
        <v>62.25</v>
      </c>
      <c r="G17" s="51">
        <v>62.5</v>
      </c>
      <c r="H17" s="51">
        <v>63.25</v>
      </c>
      <c r="I17" s="51">
        <v>60</v>
      </c>
      <c r="J17" s="51">
        <v>62.5</v>
      </c>
      <c r="K17" s="51">
        <v>61</v>
      </c>
      <c r="L17" s="52">
        <v>5282</v>
      </c>
      <c r="M17" s="10">
        <f t="shared" si="0"/>
        <v>62.5</v>
      </c>
      <c r="N17" s="53">
        <f t="shared" si="1"/>
        <v>61</v>
      </c>
      <c r="O17" s="54">
        <f t="shared" si="4"/>
        <v>62.5</v>
      </c>
      <c r="P17" s="83"/>
      <c r="R17" s="55">
        <f t="shared" si="2"/>
        <v>63.5</v>
      </c>
      <c r="S17" s="55">
        <f t="shared" si="5"/>
        <v>63.25</v>
      </c>
      <c r="T17" s="56">
        <f t="shared" si="6"/>
        <v>0.25</v>
      </c>
      <c r="U17" s="57">
        <f t="shared" si="3"/>
        <v>28.75</v>
      </c>
      <c r="V17" s="57">
        <f t="shared" si="7"/>
        <v>60</v>
      </c>
      <c r="W17" s="58">
        <f t="shared" si="8"/>
        <v>-31.25</v>
      </c>
      <c r="AA17" s="67"/>
    </row>
    <row r="18" spans="1:27" ht="38.15" customHeight="1" x14ac:dyDescent="0.85">
      <c r="A18" s="46">
        <v>170</v>
      </c>
      <c r="B18" s="47">
        <v>66</v>
      </c>
      <c r="C18" s="48" t="s">
        <v>45</v>
      </c>
      <c r="D18" s="49" t="s">
        <v>46</v>
      </c>
      <c r="E18" s="50"/>
      <c r="F18" s="51">
        <v>157.5</v>
      </c>
      <c r="G18" s="51">
        <v>159.5</v>
      </c>
      <c r="H18" s="51">
        <v>159</v>
      </c>
      <c r="I18" s="51">
        <v>154</v>
      </c>
      <c r="J18" s="51">
        <v>156.5</v>
      </c>
      <c r="K18" s="51">
        <v>154</v>
      </c>
      <c r="L18" s="52">
        <v>56174</v>
      </c>
      <c r="M18" s="10">
        <f t="shared" si="0"/>
        <v>156.5</v>
      </c>
      <c r="N18" s="53">
        <f t="shared" si="1"/>
        <v>154</v>
      </c>
      <c r="O18" s="54">
        <f t="shared" si="4"/>
        <v>156.5</v>
      </c>
      <c r="P18" s="83"/>
      <c r="R18" s="55">
        <f t="shared" si="2"/>
        <v>170</v>
      </c>
      <c r="S18" s="55">
        <f t="shared" si="5"/>
        <v>159</v>
      </c>
      <c r="T18" s="56">
        <f t="shared" si="6"/>
        <v>11</v>
      </c>
      <c r="U18" s="57">
        <f t="shared" si="3"/>
        <v>66</v>
      </c>
      <c r="V18" s="57">
        <f t="shared" si="7"/>
        <v>154</v>
      </c>
      <c r="W18" s="58">
        <f t="shared" si="8"/>
        <v>-88</v>
      </c>
      <c r="AA18" s="67"/>
    </row>
    <row r="19" spans="1:27" ht="38.15" customHeight="1" x14ac:dyDescent="0.85">
      <c r="A19" s="46">
        <v>93</v>
      </c>
      <c r="B19" s="47">
        <v>41.2</v>
      </c>
      <c r="C19" s="48" t="s">
        <v>47</v>
      </c>
      <c r="D19" s="49" t="s">
        <v>48</v>
      </c>
      <c r="E19" s="50"/>
      <c r="F19" s="51">
        <v>90.5</v>
      </c>
      <c r="G19" s="51">
        <v>91.75</v>
      </c>
      <c r="H19" s="51">
        <v>93</v>
      </c>
      <c r="I19" s="51">
        <v>90.5</v>
      </c>
      <c r="J19" s="51">
        <v>92</v>
      </c>
      <c r="K19" s="51">
        <v>91</v>
      </c>
      <c r="L19" s="52">
        <v>798457</v>
      </c>
      <c r="M19" s="10">
        <f t="shared" si="0"/>
        <v>92</v>
      </c>
      <c r="N19" s="53">
        <f t="shared" si="1"/>
        <v>91</v>
      </c>
      <c r="O19" s="54">
        <f t="shared" si="4"/>
        <v>92</v>
      </c>
      <c r="P19" s="83"/>
      <c r="R19" s="55">
        <f t="shared" si="2"/>
        <v>93</v>
      </c>
      <c r="S19" s="55">
        <f t="shared" si="5"/>
        <v>93</v>
      </c>
      <c r="T19" s="56">
        <f t="shared" si="6"/>
        <v>0</v>
      </c>
      <c r="U19" s="57">
        <f t="shared" si="3"/>
        <v>41.2</v>
      </c>
      <c r="V19" s="57">
        <f t="shared" si="7"/>
        <v>90.5</v>
      </c>
      <c r="W19" s="58">
        <f t="shared" si="8"/>
        <v>-49.3</v>
      </c>
      <c r="AA19" s="67"/>
    </row>
    <row r="20" spans="1:27" ht="38.15" customHeight="1" x14ac:dyDescent="0.85">
      <c r="A20" s="46">
        <v>50</v>
      </c>
      <c r="B20" s="47">
        <v>22</v>
      </c>
      <c r="C20" s="48" t="s">
        <v>49</v>
      </c>
      <c r="D20" s="49" t="s">
        <v>50</v>
      </c>
      <c r="E20" s="50"/>
      <c r="F20" s="51">
        <v>33.5</v>
      </c>
      <c r="G20" s="51">
        <v>33.799999999999997</v>
      </c>
      <c r="H20" s="51">
        <v>34.4</v>
      </c>
      <c r="I20" s="51">
        <v>32.9</v>
      </c>
      <c r="J20" s="51">
        <v>33.35</v>
      </c>
      <c r="K20" s="51">
        <v>32.950000000000003</v>
      </c>
      <c r="L20" s="52">
        <v>1325395</v>
      </c>
      <c r="M20" s="10">
        <f t="shared" si="0"/>
        <v>33.35</v>
      </c>
      <c r="N20" s="53">
        <f t="shared" si="1"/>
        <v>32.950000000000003</v>
      </c>
      <c r="O20" s="54">
        <f t="shared" si="4"/>
        <v>33.35</v>
      </c>
      <c r="P20" s="83"/>
      <c r="R20" s="55">
        <f t="shared" si="2"/>
        <v>50</v>
      </c>
      <c r="S20" s="55">
        <f t="shared" si="5"/>
        <v>34.4</v>
      </c>
      <c r="T20" s="56">
        <f t="shared" si="6"/>
        <v>15.600000000000001</v>
      </c>
      <c r="U20" s="57">
        <f t="shared" si="3"/>
        <v>22</v>
      </c>
      <c r="V20" s="57">
        <f t="shared" si="7"/>
        <v>32.9</v>
      </c>
      <c r="W20" s="58">
        <f t="shared" si="8"/>
        <v>-10.899999999999999</v>
      </c>
      <c r="AA20" s="67"/>
    </row>
    <row r="21" spans="1:27" ht="38.15" customHeight="1" x14ac:dyDescent="0.85">
      <c r="A21" s="46">
        <v>13.5</v>
      </c>
      <c r="B21" s="47">
        <v>5.3</v>
      </c>
      <c r="C21" s="48" t="s">
        <v>51</v>
      </c>
      <c r="D21" s="49" t="s">
        <v>52</v>
      </c>
      <c r="E21" s="50"/>
      <c r="F21" s="51">
        <v>13.2</v>
      </c>
      <c r="G21" s="51">
        <v>13.3</v>
      </c>
      <c r="H21" s="51">
        <v>13.5</v>
      </c>
      <c r="I21" s="51">
        <v>13.05</v>
      </c>
      <c r="J21" s="51">
        <v>13.200000000000001</v>
      </c>
      <c r="K21" s="51">
        <v>13.200000000000001</v>
      </c>
      <c r="L21" s="52">
        <v>275313</v>
      </c>
      <c r="M21" s="10">
        <f t="shared" si="0"/>
        <v>13.200000000000001</v>
      </c>
      <c r="N21" s="53">
        <f t="shared" si="1"/>
        <v>13.200000000000001</v>
      </c>
      <c r="O21" s="54">
        <f t="shared" si="4"/>
        <v>13.200000000000001</v>
      </c>
      <c r="P21" s="83"/>
      <c r="R21" s="55">
        <f t="shared" si="2"/>
        <v>13.5</v>
      </c>
      <c r="S21" s="55">
        <f t="shared" si="5"/>
        <v>13.5</v>
      </c>
      <c r="T21" s="56">
        <f t="shared" si="6"/>
        <v>0</v>
      </c>
      <c r="U21" s="57">
        <f t="shared" si="3"/>
        <v>5.3</v>
      </c>
      <c r="V21" s="57">
        <f t="shared" si="7"/>
        <v>13.05</v>
      </c>
      <c r="W21" s="58">
        <f t="shared" si="8"/>
        <v>-7.7500000000000009</v>
      </c>
      <c r="AA21" s="67"/>
    </row>
    <row r="22" spans="1:27" ht="38.15" customHeight="1" x14ac:dyDescent="0.85">
      <c r="A22" s="46">
        <v>74.75</v>
      </c>
      <c r="B22" s="47">
        <v>29.5</v>
      </c>
      <c r="C22" s="48" t="s">
        <v>53</v>
      </c>
      <c r="D22" s="49" t="s">
        <v>54</v>
      </c>
      <c r="E22" s="50"/>
      <c r="F22" s="51">
        <v>71</v>
      </c>
      <c r="G22" s="51">
        <v>71.75</v>
      </c>
      <c r="H22" s="51">
        <v>71.75</v>
      </c>
      <c r="I22" s="51">
        <v>70</v>
      </c>
      <c r="J22" s="51">
        <v>71</v>
      </c>
      <c r="K22" s="51">
        <v>70</v>
      </c>
      <c r="L22" s="52">
        <v>108231</v>
      </c>
      <c r="M22" s="10">
        <f t="shared" si="0"/>
        <v>71</v>
      </c>
      <c r="N22" s="53">
        <f t="shared" si="1"/>
        <v>70</v>
      </c>
      <c r="O22" s="54">
        <f t="shared" si="4"/>
        <v>71</v>
      </c>
      <c r="P22" s="83"/>
      <c r="R22" s="55">
        <f t="shared" si="2"/>
        <v>74.75</v>
      </c>
      <c r="S22" s="55">
        <f t="shared" si="5"/>
        <v>71.75</v>
      </c>
      <c r="T22" s="56">
        <f t="shared" si="6"/>
        <v>3</v>
      </c>
      <c r="U22" s="57">
        <f t="shared" si="3"/>
        <v>29.5</v>
      </c>
      <c r="V22" s="57">
        <f t="shared" si="7"/>
        <v>70</v>
      </c>
      <c r="W22" s="58">
        <f t="shared" si="8"/>
        <v>-40.5</v>
      </c>
      <c r="AA22" s="67"/>
    </row>
    <row r="23" spans="1:27" ht="38.15" customHeight="1" x14ac:dyDescent="0.85">
      <c r="A23" s="46">
        <v>90.5</v>
      </c>
      <c r="B23" s="47">
        <v>35</v>
      </c>
      <c r="C23" s="48" t="s">
        <v>55</v>
      </c>
      <c r="D23" s="49" t="s">
        <v>56</v>
      </c>
      <c r="E23" s="50" t="s">
        <v>39</v>
      </c>
      <c r="F23" s="51">
        <v>89.75</v>
      </c>
      <c r="G23" s="51">
        <v>90</v>
      </c>
      <c r="H23" s="51">
        <v>90.5</v>
      </c>
      <c r="I23" s="51">
        <v>89.25</v>
      </c>
      <c r="J23" s="51">
        <v>89.75</v>
      </c>
      <c r="K23" s="51">
        <v>89.75</v>
      </c>
      <c r="L23" s="52">
        <v>547863</v>
      </c>
      <c r="M23" s="10">
        <f t="shared" si="0"/>
        <v>89.75</v>
      </c>
      <c r="N23" s="53">
        <f t="shared" si="1"/>
        <v>89.75</v>
      </c>
      <c r="O23" s="54">
        <f t="shared" si="4"/>
        <v>89.75</v>
      </c>
      <c r="P23" s="83"/>
      <c r="R23" s="55">
        <f t="shared" si="2"/>
        <v>90.5</v>
      </c>
      <c r="S23" s="55">
        <f t="shared" si="5"/>
        <v>90.5</v>
      </c>
      <c r="T23" s="56">
        <f t="shared" si="6"/>
        <v>0</v>
      </c>
      <c r="U23" s="57">
        <f t="shared" si="3"/>
        <v>35</v>
      </c>
      <c r="V23" s="57">
        <f t="shared" si="7"/>
        <v>89.25</v>
      </c>
      <c r="W23" s="58">
        <f t="shared" si="8"/>
        <v>-54.25</v>
      </c>
      <c r="AA23" s="67"/>
    </row>
    <row r="24" spans="1:27" ht="38.15" customHeight="1" x14ac:dyDescent="0.85">
      <c r="A24" s="46">
        <v>100</v>
      </c>
      <c r="B24" s="47">
        <v>48</v>
      </c>
      <c r="C24" s="48" t="s">
        <v>57</v>
      </c>
      <c r="D24" s="49" t="s">
        <v>58</v>
      </c>
      <c r="E24" s="50"/>
      <c r="F24" s="51">
        <v>91</v>
      </c>
      <c r="G24" s="51">
        <v>91.5</v>
      </c>
      <c r="H24" s="51">
        <v>93</v>
      </c>
      <c r="I24" s="51">
        <v>91</v>
      </c>
      <c r="J24" s="51">
        <v>91.25</v>
      </c>
      <c r="K24" s="51">
        <v>91.75</v>
      </c>
      <c r="L24" s="52">
        <v>137108</v>
      </c>
      <c r="M24" s="10">
        <f t="shared" si="0"/>
        <v>91.25</v>
      </c>
      <c r="N24" s="53">
        <f t="shared" si="1"/>
        <v>91.75</v>
      </c>
      <c r="O24" s="54">
        <f t="shared" si="4"/>
        <v>91.25</v>
      </c>
      <c r="P24" s="83"/>
      <c r="R24" s="55">
        <f t="shared" si="2"/>
        <v>100</v>
      </c>
      <c r="S24" s="55">
        <f t="shared" si="5"/>
        <v>93</v>
      </c>
      <c r="T24" s="56">
        <f t="shared" si="6"/>
        <v>7</v>
      </c>
      <c r="U24" s="57">
        <f t="shared" si="3"/>
        <v>48</v>
      </c>
      <c r="V24" s="57">
        <f t="shared" si="7"/>
        <v>91</v>
      </c>
      <c r="W24" s="58">
        <f t="shared" si="8"/>
        <v>-43</v>
      </c>
      <c r="AA24" s="67"/>
    </row>
    <row r="25" spans="1:27" ht="38.15" customHeight="1" x14ac:dyDescent="0.85">
      <c r="A25" s="46">
        <v>300</v>
      </c>
      <c r="B25" s="47">
        <v>147</v>
      </c>
      <c r="C25" s="48" t="s">
        <v>59</v>
      </c>
      <c r="D25" s="49" t="s">
        <v>60</v>
      </c>
      <c r="E25" s="50"/>
      <c r="F25" s="51">
        <v>267</v>
      </c>
      <c r="G25" s="51">
        <v>267.5</v>
      </c>
      <c r="H25" s="51">
        <v>278</v>
      </c>
      <c r="I25" s="51">
        <v>249</v>
      </c>
      <c r="J25" s="51">
        <v>268.75</v>
      </c>
      <c r="K25" s="51">
        <v>276.5</v>
      </c>
      <c r="L25" s="52">
        <v>11563</v>
      </c>
      <c r="M25" s="10">
        <f t="shared" si="0"/>
        <v>268.75</v>
      </c>
      <c r="N25" s="53">
        <f t="shared" si="1"/>
        <v>276.5</v>
      </c>
      <c r="O25" s="54">
        <f t="shared" si="4"/>
        <v>268.75</v>
      </c>
      <c r="P25" s="83"/>
      <c r="R25" s="55">
        <f t="shared" si="2"/>
        <v>300</v>
      </c>
      <c r="S25" s="55">
        <f t="shared" si="5"/>
        <v>278</v>
      </c>
      <c r="T25" s="56">
        <f t="shared" si="6"/>
        <v>22</v>
      </c>
      <c r="U25" s="57">
        <f t="shared" si="3"/>
        <v>147</v>
      </c>
      <c r="V25" s="57">
        <f t="shared" si="7"/>
        <v>249</v>
      </c>
      <c r="W25" s="58">
        <f t="shared" si="8"/>
        <v>-102</v>
      </c>
      <c r="AA25" s="67"/>
    </row>
    <row r="26" spans="1:27" ht="38.15" customHeight="1" x14ac:dyDescent="0.85">
      <c r="A26" s="46">
        <v>370</v>
      </c>
      <c r="B26" s="47">
        <v>260</v>
      </c>
      <c r="C26" s="48" t="s">
        <v>61</v>
      </c>
      <c r="D26" s="49" t="s">
        <v>62</v>
      </c>
      <c r="E26" s="50"/>
      <c r="F26" s="51">
        <v>340</v>
      </c>
      <c r="G26" s="51">
        <v>342.5</v>
      </c>
      <c r="H26" s="51">
        <v>348.75</v>
      </c>
      <c r="I26" s="51">
        <v>340</v>
      </c>
      <c r="J26" s="51">
        <v>344.25</v>
      </c>
      <c r="K26" s="51">
        <v>345.5</v>
      </c>
      <c r="L26" s="52">
        <v>41851</v>
      </c>
      <c r="M26" s="10">
        <f t="shared" si="0"/>
        <v>344.25</v>
      </c>
      <c r="N26" s="53">
        <f t="shared" si="1"/>
        <v>345.5</v>
      </c>
      <c r="O26" s="54">
        <f>IF(M26="", N26, M26)</f>
        <v>344.25</v>
      </c>
      <c r="P26" s="83"/>
      <c r="R26" s="55">
        <f t="shared" si="2"/>
        <v>370</v>
      </c>
      <c r="S26" s="55">
        <f>H26</f>
        <v>348.75</v>
      </c>
      <c r="T26" s="56">
        <f>R26-S26</f>
        <v>21.25</v>
      </c>
      <c r="U26" s="57">
        <v>134</v>
      </c>
      <c r="V26" s="57">
        <v>345.25</v>
      </c>
      <c r="W26" s="58">
        <v>-211.25</v>
      </c>
      <c r="AA26" s="67"/>
    </row>
    <row r="27" spans="1:27" ht="38.15" customHeight="1" x14ac:dyDescent="0.85">
      <c r="A27" s="46">
        <v>39.5</v>
      </c>
      <c r="B27" s="47">
        <v>13.8</v>
      </c>
      <c r="C27" s="48" t="s">
        <v>63</v>
      </c>
      <c r="D27" s="49" t="s">
        <v>64</v>
      </c>
      <c r="E27" s="50"/>
      <c r="F27" s="51">
        <v>38.75</v>
      </c>
      <c r="G27" s="51">
        <v>38.950000000000003</v>
      </c>
      <c r="H27" s="51">
        <v>39.4</v>
      </c>
      <c r="I27" s="51">
        <v>37.5</v>
      </c>
      <c r="J27" s="51">
        <v>38.700000000000003</v>
      </c>
      <c r="K27" s="51">
        <v>38.75</v>
      </c>
      <c r="L27" s="52">
        <v>553998</v>
      </c>
      <c r="M27" s="10">
        <f t="shared" si="0"/>
        <v>38.700000000000003</v>
      </c>
      <c r="N27" s="53">
        <f t="shared" si="1"/>
        <v>38.75</v>
      </c>
      <c r="O27" s="54">
        <f t="shared" si="4"/>
        <v>38.700000000000003</v>
      </c>
      <c r="P27" s="83"/>
      <c r="R27" s="55">
        <f t="shared" si="2"/>
        <v>39.5</v>
      </c>
      <c r="S27" s="55">
        <f t="shared" si="5"/>
        <v>39.4</v>
      </c>
      <c r="T27" s="56">
        <f t="shared" si="6"/>
        <v>0.10000000000000142</v>
      </c>
      <c r="U27" s="57">
        <f t="shared" ref="U27:U87" si="9">B27</f>
        <v>13.8</v>
      </c>
      <c r="V27" s="57">
        <f t="shared" si="7"/>
        <v>37.5</v>
      </c>
      <c r="W27" s="58">
        <f t="shared" si="8"/>
        <v>-23.7</v>
      </c>
      <c r="AA27" s="67"/>
    </row>
    <row r="28" spans="1:27" ht="38.15" customHeight="1" x14ac:dyDescent="0.85">
      <c r="A28" s="46"/>
      <c r="B28" s="84"/>
      <c r="C28" s="48"/>
      <c r="D28" s="49"/>
      <c r="E28" s="50"/>
      <c r="F28" s="51"/>
      <c r="G28" s="51"/>
      <c r="H28" s="51"/>
      <c r="I28" s="51"/>
      <c r="J28" s="51"/>
      <c r="K28" s="47"/>
      <c r="L28" s="52"/>
      <c r="M28" s="10" t="str">
        <f>IF(J28=0,"",J28)</f>
        <v/>
      </c>
      <c r="N28" s="10">
        <f>K28</f>
        <v>0</v>
      </c>
      <c r="O28" s="54">
        <f t="shared" si="4"/>
        <v>0</v>
      </c>
      <c r="R28" s="55">
        <f t="shared" si="2"/>
        <v>0</v>
      </c>
      <c r="S28" s="55">
        <f t="shared" si="5"/>
        <v>0</v>
      </c>
      <c r="T28" s="56">
        <f t="shared" si="6"/>
        <v>0</v>
      </c>
      <c r="U28" s="57">
        <f t="shared" si="9"/>
        <v>0</v>
      </c>
      <c r="V28" s="57">
        <f t="shared" si="7"/>
        <v>0</v>
      </c>
      <c r="W28" s="58">
        <f t="shared" si="8"/>
        <v>0</v>
      </c>
      <c r="Z28" s="65">
        <f>SUM(L16:L27)</f>
        <v>4941865</v>
      </c>
      <c r="AA28" s="67" t="e">
        <f>Z28/$K$109</f>
        <v>#VALUE!</v>
      </c>
    </row>
    <row r="29" spans="1:27" ht="38.15" customHeight="1" x14ac:dyDescent="0.85">
      <c r="A29" s="77"/>
      <c r="B29" s="78"/>
      <c r="C29" s="70" t="s">
        <v>65</v>
      </c>
      <c r="D29" s="79"/>
      <c r="E29" s="80"/>
      <c r="F29" s="73"/>
      <c r="G29" s="73"/>
      <c r="H29" s="73"/>
      <c r="I29" s="73"/>
      <c r="J29" s="81"/>
      <c r="K29" s="82"/>
      <c r="L29" s="76"/>
      <c r="M29" s="10" t="str">
        <f>IF(J29=0,"",J29)</f>
        <v/>
      </c>
      <c r="N29" s="10">
        <f>K29</f>
        <v>0</v>
      </c>
      <c r="O29" s="54">
        <f t="shared" si="4"/>
        <v>0</v>
      </c>
      <c r="R29" s="55">
        <f t="shared" si="2"/>
        <v>0</v>
      </c>
      <c r="S29" s="55">
        <f t="shared" si="5"/>
        <v>0</v>
      </c>
      <c r="T29" s="56">
        <f t="shared" si="6"/>
        <v>0</v>
      </c>
      <c r="U29" s="57">
        <f t="shared" si="9"/>
        <v>0</v>
      </c>
      <c r="V29" s="57">
        <f t="shared" si="7"/>
        <v>0</v>
      </c>
      <c r="W29" s="58">
        <f t="shared" si="8"/>
        <v>0</v>
      </c>
      <c r="AA29" s="67"/>
    </row>
    <row r="30" spans="1:27" ht="38.15" customHeight="1" x14ac:dyDescent="0.85">
      <c r="A30" s="46">
        <v>0.45</v>
      </c>
      <c r="B30" s="47">
        <v>0.45</v>
      </c>
      <c r="C30" s="85" t="s">
        <v>66</v>
      </c>
      <c r="D30" s="49" t="s">
        <v>67</v>
      </c>
      <c r="E30" s="50" t="s">
        <v>68</v>
      </c>
      <c r="F30" s="51"/>
      <c r="G30" s="51"/>
      <c r="H30" s="51"/>
      <c r="I30" s="51"/>
      <c r="J30" s="51"/>
      <c r="K30" s="47">
        <v>0.45</v>
      </c>
      <c r="L30" s="52"/>
      <c r="M30" s="10" t="str">
        <f>IF(J30=0,"",J30)</f>
        <v/>
      </c>
      <c r="N30" s="10">
        <f>K30</f>
        <v>0.45</v>
      </c>
      <c r="O30" s="54">
        <f t="shared" si="4"/>
        <v>0.45</v>
      </c>
      <c r="R30" s="86">
        <f t="shared" si="2"/>
        <v>0.45</v>
      </c>
      <c r="S30" s="86">
        <f t="shared" si="5"/>
        <v>0</v>
      </c>
      <c r="T30" s="87">
        <f t="shared" si="6"/>
        <v>0.45</v>
      </c>
      <c r="U30" s="88">
        <f t="shared" si="9"/>
        <v>0.45</v>
      </c>
      <c r="V30" s="88">
        <f t="shared" si="7"/>
        <v>0</v>
      </c>
      <c r="W30" s="89">
        <f t="shared" si="8"/>
        <v>0.45</v>
      </c>
      <c r="AA30" s="67"/>
    </row>
    <row r="31" spans="1:27" ht="38.15" customHeight="1" x14ac:dyDescent="0.85">
      <c r="A31" s="46">
        <v>1.88</v>
      </c>
      <c r="B31" s="59">
        <v>0.75</v>
      </c>
      <c r="C31" s="48" t="s">
        <v>69</v>
      </c>
      <c r="D31" s="49" t="s">
        <v>70</v>
      </c>
      <c r="E31" s="50"/>
      <c r="F31" s="51">
        <v>1.04</v>
      </c>
      <c r="G31" s="51">
        <v>1.05</v>
      </c>
      <c r="H31" s="51">
        <v>1.06</v>
      </c>
      <c r="I31" s="51">
        <v>1.03</v>
      </c>
      <c r="J31" s="51">
        <v>1.05</v>
      </c>
      <c r="K31" s="51">
        <v>1.04</v>
      </c>
      <c r="L31" s="52">
        <v>262460</v>
      </c>
      <c r="M31" s="10">
        <f t="shared" ref="M31:M94" si="10">IF(J31=0,"",J31)</f>
        <v>1.05</v>
      </c>
      <c r="N31" s="10">
        <f t="shared" ref="N31:N94" si="11">K31</f>
        <v>1.04</v>
      </c>
      <c r="O31" s="54">
        <f t="shared" si="4"/>
        <v>1.05</v>
      </c>
      <c r="R31" s="55">
        <f t="shared" si="2"/>
        <v>1.88</v>
      </c>
      <c r="S31" s="55">
        <f t="shared" si="5"/>
        <v>1.06</v>
      </c>
      <c r="T31" s="56">
        <f t="shared" si="6"/>
        <v>0.81999999999999984</v>
      </c>
      <c r="U31" s="57">
        <f t="shared" si="9"/>
        <v>0.75</v>
      </c>
      <c r="V31" s="57">
        <f t="shared" si="7"/>
        <v>1.03</v>
      </c>
      <c r="W31" s="58">
        <f t="shared" si="8"/>
        <v>-0.28000000000000003</v>
      </c>
      <c r="AA31" s="67"/>
    </row>
    <row r="32" spans="1:27" ht="38.15" customHeight="1" x14ac:dyDescent="0.85">
      <c r="A32" s="46">
        <v>10</v>
      </c>
      <c r="B32" s="47">
        <v>2.7</v>
      </c>
      <c r="C32" s="48" t="s">
        <v>71</v>
      </c>
      <c r="D32" s="49" t="s">
        <v>72</v>
      </c>
      <c r="E32" s="50"/>
      <c r="F32" s="51">
        <v>7</v>
      </c>
      <c r="G32" s="51">
        <v>7.26</v>
      </c>
      <c r="H32" s="51">
        <v>7.36</v>
      </c>
      <c r="I32" s="51">
        <v>7</v>
      </c>
      <c r="J32" s="51">
        <v>7.16</v>
      </c>
      <c r="K32" s="51">
        <v>7.16</v>
      </c>
      <c r="L32" s="52">
        <v>6278</v>
      </c>
      <c r="M32" s="10">
        <f t="shared" si="10"/>
        <v>7.16</v>
      </c>
      <c r="N32" s="10">
        <f t="shared" si="11"/>
        <v>7.16</v>
      </c>
      <c r="O32" s="54">
        <f t="shared" si="4"/>
        <v>7.16</v>
      </c>
      <c r="R32" s="55">
        <f t="shared" si="2"/>
        <v>10</v>
      </c>
      <c r="S32" s="55">
        <f t="shared" si="5"/>
        <v>7.36</v>
      </c>
      <c r="T32" s="56">
        <f t="shared" si="6"/>
        <v>2.6399999999999997</v>
      </c>
      <c r="U32" s="57">
        <f t="shared" si="9"/>
        <v>2.7</v>
      </c>
      <c r="V32" s="57">
        <f t="shared" si="7"/>
        <v>7</v>
      </c>
      <c r="W32" s="58">
        <f t="shared" si="8"/>
        <v>-4.3</v>
      </c>
      <c r="AA32" s="67"/>
    </row>
    <row r="33" spans="1:27" ht="38.15" customHeight="1" x14ac:dyDescent="0.85">
      <c r="A33" s="46">
        <v>4.66</v>
      </c>
      <c r="B33" s="47">
        <v>4.66</v>
      </c>
      <c r="C33" s="48" t="s">
        <v>73</v>
      </c>
      <c r="D33" s="49" t="s">
        <v>74</v>
      </c>
      <c r="E33" s="50"/>
      <c r="F33" s="51">
        <v>5</v>
      </c>
      <c r="G33" s="51"/>
      <c r="H33" s="51"/>
      <c r="I33" s="51"/>
      <c r="J33" s="51"/>
      <c r="K33" s="47">
        <v>4.66</v>
      </c>
      <c r="L33" s="52"/>
      <c r="M33" s="10" t="str">
        <f t="shared" si="10"/>
        <v/>
      </c>
      <c r="N33" s="10">
        <f t="shared" si="11"/>
        <v>4.66</v>
      </c>
      <c r="O33" s="54">
        <f t="shared" si="4"/>
        <v>4.66</v>
      </c>
      <c r="R33" s="55">
        <f t="shared" si="2"/>
        <v>4.66</v>
      </c>
      <c r="S33" s="55">
        <f t="shared" si="5"/>
        <v>0</v>
      </c>
      <c r="T33" s="56">
        <f t="shared" si="6"/>
        <v>4.66</v>
      </c>
      <c r="U33" s="57">
        <f t="shared" si="9"/>
        <v>4.66</v>
      </c>
      <c r="V33" s="57">
        <f t="shared" si="7"/>
        <v>0</v>
      </c>
      <c r="W33" s="58">
        <f t="shared" si="8"/>
        <v>4.66</v>
      </c>
      <c r="AA33" s="67"/>
    </row>
    <row r="34" spans="1:27" ht="38.15" customHeight="1" x14ac:dyDescent="0.85">
      <c r="A34" s="46">
        <v>9.18</v>
      </c>
      <c r="B34" s="47">
        <v>1.56</v>
      </c>
      <c r="C34" s="48" t="s">
        <v>75</v>
      </c>
      <c r="D34" s="49" t="s">
        <v>76</v>
      </c>
      <c r="E34" s="50"/>
      <c r="F34" s="51">
        <v>5.74</v>
      </c>
      <c r="G34" s="51">
        <v>5.78</v>
      </c>
      <c r="H34" s="51">
        <v>6.2</v>
      </c>
      <c r="I34" s="51">
        <v>5.66</v>
      </c>
      <c r="J34" s="51">
        <v>5.78</v>
      </c>
      <c r="K34" s="47">
        <v>5.8</v>
      </c>
      <c r="L34" s="52">
        <v>944954</v>
      </c>
      <c r="M34" s="10">
        <f t="shared" si="10"/>
        <v>5.78</v>
      </c>
      <c r="N34" s="10">
        <f t="shared" si="11"/>
        <v>5.8</v>
      </c>
      <c r="O34" s="54">
        <f t="shared" si="4"/>
        <v>5.78</v>
      </c>
      <c r="R34" s="86">
        <f t="shared" si="2"/>
        <v>9.18</v>
      </c>
      <c r="S34" s="86">
        <f t="shared" si="5"/>
        <v>6.2</v>
      </c>
      <c r="T34" s="87">
        <f t="shared" si="6"/>
        <v>2.9799999999999995</v>
      </c>
      <c r="U34" s="88">
        <f t="shared" si="9"/>
        <v>1.56</v>
      </c>
      <c r="V34" s="88">
        <f t="shared" si="7"/>
        <v>5.66</v>
      </c>
      <c r="W34" s="89">
        <f t="shared" si="8"/>
        <v>-4.0999999999999996</v>
      </c>
      <c r="AA34" s="67"/>
    </row>
    <row r="35" spans="1:27" ht="38.15" customHeight="1" x14ac:dyDescent="0.85">
      <c r="A35" s="46">
        <v>3.46</v>
      </c>
      <c r="B35" s="47">
        <v>2.35</v>
      </c>
      <c r="C35" s="48" t="s">
        <v>77</v>
      </c>
      <c r="D35" s="49" t="s">
        <v>78</v>
      </c>
      <c r="E35" s="50"/>
      <c r="F35" s="51">
        <v>2.65</v>
      </c>
      <c r="G35" s="51">
        <v>2.8</v>
      </c>
      <c r="H35" s="51">
        <v>2.92</v>
      </c>
      <c r="I35" s="51">
        <v>2.65</v>
      </c>
      <c r="J35" s="51">
        <v>2.83</v>
      </c>
      <c r="K35" s="51">
        <v>2.75</v>
      </c>
      <c r="L35" s="52">
        <v>10317</v>
      </c>
      <c r="M35" s="10">
        <f t="shared" si="10"/>
        <v>2.83</v>
      </c>
      <c r="N35" s="10">
        <f t="shared" si="11"/>
        <v>2.75</v>
      </c>
      <c r="O35" s="54">
        <f t="shared" si="4"/>
        <v>2.83</v>
      </c>
      <c r="R35" s="55">
        <f t="shared" si="2"/>
        <v>3.46</v>
      </c>
      <c r="S35" s="55">
        <f t="shared" si="5"/>
        <v>2.92</v>
      </c>
      <c r="T35" s="56">
        <f t="shared" si="6"/>
        <v>0.54</v>
      </c>
      <c r="U35" s="57">
        <f t="shared" si="9"/>
        <v>2.35</v>
      </c>
      <c r="V35" s="57">
        <f t="shared" si="7"/>
        <v>2.65</v>
      </c>
      <c r="W35" s="58">
        <f t="shared" si="8"/>
        <v>-0.29999999999999982</v>
      </c>
      <c r="AA35" s="67"/>
    </row>
    <row r="36" spans="1:27" ht="38.15" customHeight="1" x14ac:dyDescent="0.85">
      <c r="A36" s="46">
        <v>5</v>
      </c>
      <c r="B36" s="47">
        <v>1.19</v>
      </c>
      <c r="C36" s="48" t="s">
        <v>79</v>
      </c>
      <c r="D36" s="49" t="s">
        <v>80</v>
      </c>
      <c r="E36" s="50"/>
      <c r="F36" s="51">
        <v>1.37</v>
      </c>
      <c r="G36" s="51">
        <v>1.39</v>
      </c>
      <c r="H36" s="51">
        <v>1.4</v>
      </c>
      <c r="I36" s="51">
        <v>1.29</v>
      </c>
      <c r="J36" s="51">
        <v>1.3800000000000001</v>
      </c>
      <c r="K36" s="51">
        <v>1.37</v>
      </c>
      <c r="L36" s="52">
        <v>27430</v>
      </c>
      <c r="M36" s="10">
        <f t="shared" si="10"/>
        <v>1.3800000000000001</v>
      </c>
      <c r="N36" s="10">
        <f t="shared" si="11"/>
        <v>1.37</v>
      </c>
      <c r="O36" s="54">
        <f t="shared" si="4"/>
        <v>1.3800000000000001</v>
      </c>
      <c r="R36" s="55">
        <f t="shared" si="2"/>
        <v>5</v>
      </c>
      <c r="S36" s="55">
        <f t="shared" si="5"/>
        <v>1.4</v>
      </c>
      <c r="T36" s="56">
        <f t="shared" si="6"/>
        <v>3.6</v>
      </c>
      <c r="U36" s="57">
        <f t="shared" si="9"/>
        <v>1.19</v>
      </c>
      <c r="V36" s="57">
        <f t="shared" si="7"/>
        <v>1.29</v>
      </c>
      <c r="W36" s="58">
        <f>U36-V36</f>
        <v>-0.10000000000000009</v>
      </c>
      <c r="AA36" s="67"/>
    </row>
    <row r="37" spans="1:27" ht="38.15" customHeight="1" x14ac:dyDescent="0.85">
      <c r="A37" s="46">
        <v>22.4</v>
      </c>
      <c r="B37" s="47">
        <v>10.050000000000001</v>
      </c>
      <c r="C37" s="48" t="s">
        <v>81</v>
      </c>
      <c r="D37" s="49" t="s">
        <v>82</v>
      </c>
      <c r="E37" s="50"/>
      <c r="F37" s="51">
        <v>12.7</v>
      </c>
      <c r="G37" s="51">
        <v>12.8</v>
      </c>
      <c r="H37" s="51">
        <v>13</v>
      </c>
      <c r="I37" s="51">
        <v>12.7</v>
      </c>
      <c r="J37" s="51">
        <v>12.9</v>
      </c>
      <c r="K37" s="51">
        <v>12.950000000000001</v>
      </c>
      <c r="L37" s="52">
        <v>20689</v>
      </c>
      <c r="M37" s="10">
        <f t="shared" si="10"/>
        <v>12.9</v>
      </c>
      <c r="N37" s="10">
        <f t="shared" si="11"/>
        <v>12.950000000000001</v>
      </c>
      <c r="O37" s="54">
        <f t="shared" si="4"/>
        <v>12.9</v>
      </c>
      <c r="R37" s="55">
        <f t="shared" si="2"/>
        <v>22.4</v>
      </c>
      <c r="S37" s="55">
        <f t="shared" si="5"/>
        <v>13</v>
      </c>
      <c r="T37" s="56">
        <f t="shared" si="6"/>
        <v>9.3999999999999986</v>
      </c>
      <c r="U37" s="57">
        <f t="shared" si="9"/>
        <v>10.050000000000001</v>
      </c>
      <c r="V37" s="57">
        <f t="shared" si="7"/>
        <v>12.7</v>
      </c>
      <c r="W37" s="58">
        <f t="shared" si="8"/>
        <v>-2.6499999999999986</v>
      </c>
      <c r="AA37" s="67"/>
    </row>
    <row r="38" spans="1:27" ht="38.15" customHeight="1" x14ac:dyDescent="0.85">
      <c r="A38" s="46">
        <v>21.5</v>
      </c>
      <c r="B38" s="47">
        <v>2.7</v>
      </c>
      <c r="C38" s="48" t="s">
        <v>83</v>
      </c>
      <c r="D38" s="49" t="s">
        <v>84</v>
      </c>
      <c r="E38" s="50"/>
      <c r="F38" s="51">
        <v>18.25</v>
      </c>
      <c r="G38" s="51">
        <v>18.45</v>
      </c>
      <c r="H38" s="51">
        <v>19</v>
      </c>
      <c r="I38" s="51">
        <v>18.25</v>
      </c>
      <c r="J38" s="51">
        <v>18.3</v>
      </c>
      <c r="K38" s="51">
        <v>18.350000000000001</v>
      </c>
      <c r="L38" s="52">
        <v>61914</v>
      </c>
      <c r="M38" s="10">
        <f t="shared" si="10"/>
        <v>18.3</v>
      </c>
      <c r="N38" s="10">
        <f t="shared" si="11"/>
        <v>18.350000000000001</v>
      </c>
      <c r="O38" s="54">
        <f t="shared" si="4"/>
        <v>18.3</v>
      </c>
      <c r="R38" s="55">
        <f t="shared" si="2"/>
        <v>21.5</v>
      </c>
      <c r="S38" s="55">
        <f t="shared" si="5"/>
        <v>19</v>
      </c>
      <c r="T38" s="56">
        <f t="shared" si="6"/>
        <v>2.5</v>
      </c>
      <c r="U38" s="57">
        <f t="shared" si="9"/>
        <v>2.7</v>
      </c>
      <c r="V38" s="57">
        <f t="shared" si="7"/>
        <v>18.25</v>
      </c>
      <c r="W38" s="58">
        <f t="shared" si="8"/>
        <v>-15.55</v>
      </c>
    </row>
    <row r="39" spans="1:27" ht="38.15" customHeight="1" x14ac:dyDescent="0.85">
      <c r="A39" s="46">
        <v>10.8</v>
      </c>
      <c r="B39" s="47">
        <v>5.2</v>
      </c>
      <c r="C39" s="48" t="s">
        <v>85</v>
      </c>
      <c r="D39" s="49" t="s">
        <v>86</v>
      </c>
      <c r="E39" s="50"/>
      <c r="F39" s="51">
        <v>6</v>
      </c>
      <c r="G39" s="51">
        <v>6.1</v>
      </c>
      <c r="H39" s="51">
        <v>6.1</v>
      </c>
      <c r="I39" s="51">
        <v>6</v>
      </c>
      <c r="J39" s="51">
        <v>6.1000000000000005</v>
      </c>
      <c r="K39" s="51">
        <v>6.0600000000000005</v>
      </c>
      <c r="L39" s="52">
        <v>2390</v>
      </c>
      <c r="M39" s="10">
        <f t="shared" si="10"/>
        <v>6.1000000000000005</v>
      </c>
      <c r="N39" s="10">
        <f t="shared" si="11"/>
        <v>6.0600000000000005</v>
      </c>
      <c r="O39" s="54">
        <f t="shared" si="4"/>
        <v>6.1000000000000005</v>
      </c>
      <c r="R39" s="55">
        <f t="shared" si="2"/>
        <v>10.8</v>
      </c>
      <c r="S39" s="55">
        <f t="shared" si="5"/>
        <v>6.1</v>
      </c>
      <c r="T39" s="56">
        <f t="shared" si="6"/>
        <v>4.7000000000000011</v>
      </c>
      <c r="U39" s="57">
        <f t="shared" si="9"/>
        <v>5.2</v>
      </c>
      <c r="V39" s="57">
        <f t="shared" si="7"/>
        <v>6</v>
      </c>
      <c r="W39" s="58">
        <f t="shared" si="8"/>
        <v>-0.79999999999999982</v>
      </c>
      <c r="AA39" s="67"/>
    </row>
    <row r="40" spans="1:27" ht="38.15" customHeight="1" x14ac:dyDescent="0.85">
      <c r="A40" s="46">
        <v>18.7</v>
      </c>
      <c r="B40" s="47">
        <v>13.05</v>
      </c>
      <c r="C40" s="48" t="s">
        <v>87</v>
      </c>
      <c r="D40" s="49" t="s">
        <v>88</v>
      </c>
      <c r="E40" s="50"/>
      <c r="F40" s="51">
        <v>15.6</v>
      </c>
      <c r="G40" s="51">
        <v>15.8</v>
      </c>
      <c r="H40" s="51">
        <v>16</v>
      </c>
      <c r="I40" s="51">
        <v>15</v>
      </c>
      <c r="J40" s="51">
        <v>15.75</v>
      </c>
      <c r="K40" s="51">
        <v>15.600000000000001</v>
      </c>
      <c r="L40" s="52">
        <v>453</v>
      </c>
      <c r="M40" s="10">
        <f t="shared" si="10"/>
        <v>15.75</v>
      </c>
      <c r="N40" s="10">
        <f t="shared" si="11"/>
        <v>15.600000000000001</v>
      </c>
      <c r="O40" s="54">
        <f t="shared" si="4"/>
        <v>15.75</v>
      </c>
      <c r="R40" s="55">
        <f t="shared" si="2"/>
        <v>18.7</v>
      </c>
      <c r="S40" s="55">
        <f t="shared" si="5"/>
        <v>16</v>
      </c>
      <c r="T40" s="56">
        <f t="shared" si="6"/>
        <v>2.6999999999999993</v>
      </c>
      <c r="U40" s="57">
        <f t="shared" si="9"/>
        <v>13.05</v>
      </c>
      <c r="V40" s="57">
        <f t="shared" si="7"/>
        <v>15</v>
      </c>
      <c r="W40" s="58">
        <f t="shared" si="8"/>
        <v>-1.9499999999999993</v>
      </c>
      <c r="AA40" s="67"/>
    </row>
    <row r="41" spans="1:27" ht="38.15" customHeight="1" x14ac:dyDescent="0.85">
      <c r="A41" s="46">
        <v>2.93</v>
      </c>
      <c r="B41" s="47">
        <v>0.23</v>
      </c>
      <c r="C41" s="48" t="s">
        <v>89</v>
      </c>
      <c r="D41" s="49" t="s">
        <v>90</v>
      </c>
      <c r="E41" s="50"/>
      <c r="F41" s="51">
        <v>1.54</v>
      </c>
      <c r="G41" s="51">
        <v>1.55</v>
      </c>
      <c r="H41" s="51">
        <v>1.55</v>
      </c>
      <c r="I41" s="51">
        <v>1.45</v>
      </c>
      <c r="J41" s="51">
        <v>1.49</v>
      </c>
      <c r="K41" s="51">
        <v>1.51</v>
      </c>
      <c r="L41" s="52">
        <v>460583</v>
      </c>
      <c r="M41" s="10">
        <f t="shared" si="10"/>
        <v>1.49</v>
      </c>
      <c r="N41" s="10">
        <f t="shared" si="11"/>
        <v>1.51</v>
      </c>
      <c r="O41" s="54">
        <f t="shared" si="4"/>
        <v>1.49</v>
      </c>
      <c r="R41" s="55">
        <f t="shared" si="2"/>
        <v>2.93</v>
      </c>
      <c r="S41" s="55">
        <f t="shared" si="5"/>
        <v>1.55</v>
      </c>
      <c r="T41" s="56">
        <f t="shared" si="6"/>
        <v>1.3800000000000001</v>
      </c>
      <c r="U41" s="57">
        <f t="shared" si="9"/>
        <v>0.23</v>
      </c>
      <c r="V41" s="57">
        <f t="shared" si="7"/>
        <v>1.45</v>
      </c>
      <c r="W41" s="58">
        <f t="shared" si="8"/>
        <v>-1.22</v>
      </c>
      <c r="Z41" s="65"/>
      <c r="AA41" s="67"/>
    </row>
    <row r="42" spans="1:27" ht="38.15" customHeight="1" x14ac:dyDescent="0.85">
      <c r="A42" s="46">
        <v>3.95</v>
      </c>
      <c r="B42" s="47">
        <v>1.8</v>
      </c>
      <c r="C42" s="85" t="s">
        <v>91</v>
      </c>
      <c r="D42" s="49" t="s">
        <v>92</v>
      </c>
      <c r="E42" s="50"/>
      <c r="F42" s="51">
        <v>2.02</v>
      </c>
      <c r="G42" s="51">
        <v>2.12</v>
      </c>
      <c r="H42" s="51">
        <v>2.15</v>
      </c>
      <c r="I42" s="51">
        <v>2.02</v>
      </c>
      <c r="J42" s="51">
        <v>2.0300000000000002</v>
      </c>
      <c r="K42" s="51">
        <v>2.06</v>
      </c>
      <c r="L42" s="52">
        <v>112474</v>
      </c>
      <c r="M42" s="10">
        <f t="shared" si="10"/>
        <v>2.0300000000000002</v>
      </c>
      <c r="N42" s="10">
        <f t="shared" si="11"/>
        <v>2.06</v>
      </c>
      <c r="O42" s="54">
        <f t="shared" si="4"/>
        <v>2.0300000000000002</v>
      </c>
      <c r="R42" s="55">
        <f t="shared" si="2"/>
        <v>3.95</v>
      </c>
      <c r="S42" s="55">
        <f t="shared" si="5"/>
        <v>2.15</v>
      </c>
      <c r="T42" s="56">
        <f t="shared" si="6"/>
        <v>1.8000000000000003</v>
      </c>
      <c r="U42" s="57">
        <f t="shared" si="9"/>
        <v>1.8</v>
      </c>
      <c r="V42" s="57">
        <f t="shared" si="7"/>
        <v>2.02</v>
      </c>
      <c r="W42" s="58">
        <f t="shared" si="8"/>
        <v>-0.21999999999999997</v>
      </c>
      <c r="Z42" s="65">
        <f>SUM(L30:L42)</f>
        <v>1909942</v>
      </c>
      <c r="AA42" s="67" t="e">
        <f>(Z42/$K$109)</f>
        <v>#VALUE!</v>
      </c>
    </row>
    <row r="43" spans="1:27" ht="38.15" customHeight="1" x14ac:dyDescent="0.85">
      <c r="A43" s="90"/>
      <c r="B43" s="59"/>
      <c r="C43" s="48"/>
      <c r="D43" s="49"/>
      <c r="E43" s="50"/>
      <c r="F43" s="51"/>
      <c r="G43" s="51"/>
      <c r="H43" s="51"/>
      <c r="I43" s="51"/>
      <c r="J43" s="51"/>
      <c r="K43" s="47"/>
      <c r="L43" s="52"/>
      <c r="M43" s="10" t="str">
        <f t="shared" si="10"/>
        <v/>
      </c>
      <c r="N43" s="10">
        <f t="shared" si="11"/>
        <v>0</v>
      </c>
      <c r="O43" s="54"/>
      <c r="R43" s="55">
        <f t="shared" si="2"/>
        <v>0</v>
      </c>
      <c r="S43" s="55">
        <f t="shared" si="5"/>
        <v>0</v>
      </c>
      <c r="T43" s="56">
        <f t="shared" si="6"/>
        <v>0</v>
      </c>
      <c r="U43" s="57">
        <f t="shared" si="9"/>
        <v>0</v>
      </c>
      <c r="V43" s="57">
        <f t="shared" si="7"/>
        <v>0</v>
      </c>
      <c r="W43" s="58">
        <f t="shared" si="8"/>
        <v>0</v>
      </c>
      <c r="AA43" s="67"/>
    </row>
    <row r="44" spans="1:27" ht="38.15" customHeight="1" x14ac:dyDescent="0.85">
      <c r="A44" s="77"/>
      <c r="B44" s="78"/>
      <c r="C44" s="70" t="s">
        <v>93</v>
      </c>
      <c r="D44" s="79"/>
      <c r="E44" s="80" t="s">
        <v>94</v>
      </c>
      <c r="F44" s="73"/>
      <c r="G44" s="73"/>
      <c r="H44" s="73"/>
      <c r="I44" s="73"/>
      <c r="J44" s="81"/>
      <c r="K44" s="82"/>
      <c r="L44" s="76"/>
      <c r="M44" s="10" t="str">
        <f t="shared" si="10"/>
        <v/>
      </c>
      <c r="N44" s="10">
        <f t="shared" si="11"/>
        <v>0</v>
      </c>
      <c r="O44" s="54"/>
      <c r="R44" s="55">
        <f t="shared" si="2"/>
        <v>0</v>
      </c>
      <c r="S44" s="55">
        <f t="shared" si="5"/>
        <v>0</v>
      </c>
      <c r="T44" s="56">
        <f t="shared" si="6"/>
        <v>0</v>
      </c>
      <c r="U44" s="57">
        <f t="shared" si="9"/>
        <v>0</v>
      </c>
      <c r="V44" s="57">
        <f t="shared" si="7"/>
        <v>0</v>
      </c>
      <c r="W44" s="58">
        <f t="shared" si="8"/>
        <v>0</v>
      </c>
      <c r="AA44" s="67"/>
    </row>
    <row r="45" spans="1:27" ht="38.15" customHeight="1" x14ac:dyDescent="0.85">
      <c r="A45" s="46">
        <v>5.55</v>
      </c>
      <c r="B45" s="47">
        <v>5.55</v>
      </c>
      <c r="C45" s="48" t="s">
        <v>95</v>
      </c>
      <c r="D45" s="49" t="s">
        <v>96</v>
      </c>
      <c r="E45" s="50" t="s">
        <v>68</v>
      </c>
      <c r="F45" s="51"/>
      <c r="G45" s="51"/>
      <c r="H45" s="51"/>
      <c r="I45" s="51"/>
      <c r="J45" s="51"/>
      <c r="K45" s="47">
        <v>5.55</v>
      </c>
      <c r="L45" s="52"/>
      <c r="M45" s="10" t="str">
        <f t="shared" si="10"/>
        <v/>
      </c>
      <c r="N45" s="10">
        <f t="shared" si="11"/>
        <v>5.55</v>
      </c>
      <c r="O45" s="54">
        <f t="shared" si="4"/>
        <v>5.55</v>
      </c>
      <c r="R45" s="86">
        <f t="shared" si="2"/>
        <v>5.55</v>
      </c>
      <c r="S45" s="86">
        <f t="shared" si="5"/>
        <v>0</v>
      </c>
      <c r="T45" s="87">
        <f t="shared" si="6"/>
        <v>5.55</v>
      </c>
      <c r="U45" s="88">
        <f t="shared" si="9"/>
        <v>5.55</v>
      </c>
      <c r="V45" s="88">
        <f t="shared" si="7"/>
        <v>0</v>
      </c>
      <c r="W45" s="89">
        <f t="shared" si="8"/>
        <v>5.55</v>
      </c>
      <c r="AA45" s="67"/>
    </row>
    <row r="46" spans="1:27" ht="38.15" customHeight="1" x14ac:dyDescent="0.85">
      <c r="A46" s="46">
        <v>84</v>
      </c>
      <c r="B46" s="47">
        <v>21.3</v>
      </c>
      <c r="C46" s="48" t="s">
        <v>97</v>
      </c>
      <c r="D46" s="49" t="s">
        <v>98</v>
      </c>
      <c r="E46" s="50" t="s">
        <v>68</v>
      </c>
      <c r="F46" s="51"/>
      <c r="G46" s="51"/>
      <c r="H46" s="51"/>
      <c r="I46" s="51"/>
      <c r="J46" s="51"/>
      <c r="K46" s="51">
        <v>54</v>
      </c>
      <c r="L46" s="52"/>
      <c r="M46" s="10" t="str">
        <f t="shared" si="10"/>
        <v/>
      </c>
      <c r="N46" s="10">
        <f t="shared" si="11"/>
        <v>54</v>
      </c>
      <c r="O46" s="54">
        <f t="shared" si="4"/>
        <v>54</v>
      </c>
      <c r="R46" s="55">
        <f t="shared" si="2"/>
        <v>84</v>
      </c>
      <c r="S46" s="55">
        <f t="shared" si="5"/>
        <v>0</v>
      </c>
      <c r="T46" s="56">
        <f t="shared" si="6"/>
        <v>84</v>
      </c>
      <c r="U46" s="57">
        <f t="shared" si="9"/>
        <v>21.3</v>
      </c>
      <c r="V46" s="57">
        <f t="shared" si="7"/>
        <v>0</v>
      </c>
      <c r="W46" s="58">
        <f t="shared" si="8"/>
        <v>21.3</v>
      </c>
      <c r="AA46" s="67"/>
    </row>
    <row r="47" spans="1:27" ht="38.15" customHeight="1" x14ac:dyDescent="0.85">
      <c r="A47" s="46">
        <v>70.75</v>
      </c>
      <c r="B47" s="47">
        <v>29</v>
      </c>
      <c r="C47" s="48" t="s">
        <v>99</v>
      </c>
      <c r="D47" s="49" t="s">
        <v>100</v>
      </c>
      <c r="E47" s="50" t="s">
        <v>29</v>
      </c>
      <c r="F47" s="51">
        <v>61</v>
      </c>
      <c r="G47" s="51">
        <v>61.75</v>
      </c>
      <c r="H47" s="51">
        <v>62</v>
      </c>
      <c r="I47" s="51">
        <v>60</v>
      </c>
      <c r="J47" s="51">
        <v>61.5</v>
      </c>
      <c r="K47" s="51">
        <v>62.25</v>
      </c>
      <c r="L47" s="52">
        <v>851</v>
      </c>
      <c r="M47" s="10">
        <f t="shared" si="10"/>
        <v>61.5</v>
      </c>
      <c r="N47" s="10">
        <f t="shared" si="11"/>
        <v>62.25</v>
      </c>
      <c r="O47" s="54">
        <f t="shared" si="4"/>
        <v>61.5</v>
      </c>
      <c r="R47" s="55">
        <f t="shared" si="2"/>
        <v>70.75</v>
      </c>
      <c r="S47" s="55">
        <f t="shared" si="5"/>
        <v>62</v>
      </c>
      <c r="T47" s="56">
        <f t="shared" si="6"/>
        <v>8.75</v>
      </c>
      <c r="U47" s="57">
        <f t="shared" si="9"/>
        <v>29</v>
      </c>
      <c r="V47" s="57">
        <f t="shared" si="7"/>
        <v>60</v>
      </c>
      <c r="W47" s="58">
        <f t="shared" si="8"/>
        <v>-31</v>
      </c>
      <c r="AA47" s="67"/>
    </row>
    <row r="48" spans="1:27" ht="38.15" customHeight="1" x14ac:dyDescent="0.85">
      <c r="A48" s="46">
        <v>3.27</v>
      </c>
      <c r="B48" s="47">
        <v>0.72</v>
      </c>
      <c r="C48" s="48" t="s">
        <v>101</v>
      </c>
      <c r="D48" s="49" t="s">
        <v>102</v>
      </c>
      <c r="E48" s="50" t="s">
        <v>68</v>
      </c>
      <c r="F48" s="51"/>
      <c r="G48" s="51"/>
      <c r="H48" s="51"/>
      <c r="I48" s="51"/>
      <c r="J48" s="51"/>
      <c r="K48" s="51">
        <v>1.71</v>
      </c>
      <c r="L48" s="52"/>
      <c r="M48" s="10" t="str">
        <f t="shared" si="10"/>
        <v/>
      </c>
      <c r="N48" s="10">
        <f t="shared" si="11"/>
        <v>1.71</v>
      </c>
      <c r="O48" s="54">
        <f t="shared" si="4"/>
        <v>1.71</v>
      </c>
      <c r="R48" s="55">
        <f t="shared" si="2"/>
        <v>3.27</v>
      </c>
      <c r="S48" s="55">
        <f t="shared" si="5"/>
        <v>0</v>
      </c>
      <c r="T48" s="56">
        <f t="shared" si="6"/>
        <v>3.27</v>
      </c>
      <c r="U48" s="57">
        <f t="shared" si="9"/>
        <v>0.72</v>
      </c>
      <c r="V48" s="57">
        <f t="shared" si="7"/>
        <v>0</v>
      </c>
      <c r="W48" s="58">
        <f t="shared" si="8"/>
        <v>0.72</v>
      </c>
      <c r="Z48" s="65">
        <f>SUM(L45:L49)</f>
        <v>3306</v>
      </c>
      <c r="AA48" s="67" t="e">
        <f>Z48/$K$109</f>
        <v>#VALUE!</v>
      </c>
    </row>
    <row r="49" spans="1:27" ht="38.15" customHeight="1" x14ac:dyDescent="0.85">
      <c r="A49" s="46">
        <v>125.75</v>
      </c>
      <c r="B49" s="47">
        <v>28</v>
      </c>
      <c r="C49" s="48" t="s">
        <v>103</v>
      </c>
      <c r="D49" s="49" t="s">
        <v>104</v>
      </c>
      <c r="E49" s="50" t="s">
        <v>39</v>
      </c>
      <c r="F49" s="51">
        <v>121</v>
      </c>
      <c r="G49" s="51">
        <v>124</v>
      </c>
      <c r="H49" s="51">
        <v>124</v>
      </c>
      <c r="I49" s="51">
        <v>116.25</v>
      </c>
      <c r="J49" s="51">
        <v>122.75</v>
      </c>
      <c r="K49" s="51">
        <v>117.25</v>
      </c>
      <c r="L49" s="52">
        <v>2455</v>
      </c>
      <c r="M49" s="10">
        <f t="shared" si="10"/>
        <v>122.75</v>
      </c>
      <c r="N49" s="10">
        <f t="shared" si="11"/>
        <v>117.25</v>
      </c>
      <c r="O49" s="54">
        <f t="shared" si="4"/>
        <v>122.75</v>
      </c>
      <c r="R49" s="55">
        <f t="shared" si="2"/>
        <v>125.75</v>
      </c>
      <c r="S49" s="55">
        <f t="shared" si="5"/>
        <v>124</v>
      </c>
      <c r="T49" s="56">
        <f t="shared" si="6"/>
        <v>1.75</v>
      </c>
      <c r="U49" s="57">
        <f t="shared" si="9"/>
        <v>28</v>
      </c>
      <c r="V49" s="57">
        <f t="shared" si="7"/>
        <v>116.25</v>
      </c>
      <c r="W49" s="58">
        <f t="shared" si="8"/>
        <v>-88.25</v>
      </c>
      <c r="AA49" s="67"/>
    </row>
    <row r="50" spans="1:27" ht="38.15" customHeight="1" x14ac:dyDescent="0.85">
      <c r="A50" s="46"/>
      <c r="B50" s="59"/>
      <c r="C50" s="48"/>
      <c r="D50" s="49"/>
      <c r="E50" s="50"/>
      <c r="F50" s="51"/>
      <c r="G50" s="51"/>
      <c r="H50" s="51"/>
      <c r="I50" s="51"/>
      <c r="J50" s="51"/>
      <c r="K50" s="47"/>
      <c r="L50" s="52"/>
      <c r="M50" s="10" t="str">
        <f t="shared" si="10"/>
        <v/>
      </c>
      <c r="N50" s="10">
        <f t="shared" si="11"/>
        <v>0</v>
      </c>
      <c r="O50" s="54"/>
      <c r="R50" s="55">
        <f t="shared" si="2"/>
        <v>0</v>
      </c>
      <c r="S50" s="55">
        <f t="shared" si="5"/>
        <v>0</v>
      </c>
      <c r="T50" s="56">
        <f t="shared" si="6"/>
        <v>0</v>
      </c>
      <c r="U50" s="57">
        <f t="shared" si="9"/>
        <v>0</v>
      </c>
      <c r="V50" s="57">
        <f t="shared" si="7"/>
        <v>0</v>
      </c>
      <c r="W50" s="58">
        <f t="shared" si="8"/>
        <v>0</v>
      </c>
      <c r="AA50" s="67"/>
    </row>
    <row r="51" spans="1:27" ht="38.15" customHeight="1" x14ac:dyDescent="0.85">
      <c r="A51" s="77"/>
      <c r="B51" s="78"/>
      <c r="C51" s="70" t="s">
        <v>105</v>
      </c>
      <c r="D51" s="79"/>
      <c r="E51" s="80" t="s">
        <v>94</v>
      </c>
      <c r="F51" s="73"/>
      <c r="G51" s="73"/>
      <c r="H51" s="73"/>
      <c r="I51" s="73"/>
      <c r="J51" s="81"/>
      <c r="K51" s="82"/>
      <c r="L51" s="76"/>
      <c r="M51" s="10" t="str">
        <f t="shared" si="10"/>
        <v/>
      </c>
      <c r="N51" s="10">
        <f t="shared" si="11"/>
        <v>0</v>
      </c>
      <c r="O51" s="54"/>
      <c r="R51" s="55">
        <f t="shared" si="2"/>
        <v>0</v>
      </c>
      <c r="S51" s="55">
        <f t="shared" si="5"/>
        <v>0</v>
      </c>
      <c r="T51" s="56">
        <f t="shared" si="6"/>
        <v>0</v>
      </c>
      <c r="U51" s="57">
        <f t="shared" si="9"/>
        <v>0</v>
      </c>
      <c r="V51" s="57">
        <f t="shared" si="7"/>
        <v>0</v>
      </c>
      <c r="W51" s="58">
        <f t="shared" si="8"/>
        <v>0</v>
      </c>
      <c r="AA51" s="67"/>
    </row>
    <row r="52" spans="1:27" ht="38.15" customHeight="1" x14ac:dyDescent="0.85">
      <c r="A52" s="46">
        <v>11.8</v>
      </c>
      <c r="B52" s="47">
        <v>4.5</v>
      </c>
      <c r="C52" s="48" t="s">
        <v>106</v>
      </c>
      <c r="D52" s="49" t="s">
        <v>107</v>
      </c>
      <c r="E52" s="50"/>
      <c r="F52" s="51">
        <v>11.15</v>
      </c>
      <c r="G52" s="51">
        <v>11.2</v>
      </c>
      <c r="H52" s="51">
        <v>11.3</v>
      </c>
      <c r="I52" s="51">
        <v>11.05</v>
      </c>
      <c r="J52" s="51">
        <v>11.200000000000001</v>
      </c>
      <c r="K52" s="51">
        <v>11.3</v>
      </c>
      <c r="L52" s="52">
        <v>1128024</v>
      </c>
      <c r="M52" s="10">
        <f t="shared" si="10"/>
        <v>11.200000000000001</v>
      </c>
      <c r="N52" s="10">
        <f t="shared" si="11"/>
        <v>11.3</v>
      </c>
      <c r="O52" s="54">
        <f t="shared" si="4"/>
        <v>11.200000000000001</v>
      </c>
      <c r="R52" s="55">
        <f t="shared" si="2"/>
        <v>11.8</v>
      </c>
      <c r="S52" s="55">
        <f t="shared" si="5"/>
        <v>11.3</v>
      </c>
      <c r="T52" s="56">
        <f t="shared" si="6"/>
        <v>0.5</v>
      </c>
      <c r="U52" s="57">
        <f t="shared" si="9"/>
        <v>4.5</v>
      </c>
      <c r="V52" s="57">
        <f t="shared" si="7"/>
        <v>11.05</v>
      </c>
      <c r="W52" s="58">
        <f t="shared" si="8"/>
        <v>-6.5500000000000007</v>
      </c>
      <c r="AA52" s="67"/>
    </row>
    <row r="53" spans="1:27" ht="38.15" customHeight="1" x14ac:dyDescent="0.85">
      <c r="A53" s="46">
        <v>10</v>
      </c>
      <c r="B53" s="51">
        <v>9</v>
      </c>
      <c r="C53" s="48" t="s">
        <v>108</v>
      </c>
      <c r="D53" s="49" t="s">
        <v>109</v>
      </c>
      <c r="E53" s="50"/>
      <c r="F53" s="51">
        <v>9.08</v>
      </c>
      <c r="G53" s="51">
        <v>9.1</v>
      </c>
      <c r="H53" s="51">
        <v>9.1</v>
      </c>
      <c r="I53" s="51">
        <v>9</v>
      </c>
      <c r="J53" s="51">
        <v>9.08</v>
      </c>
      <c r="K53" s="51">
        <v>9.08</v>
      </c>
      <c r="L53" s="52">
        <v>277288</v>
      </c>
      <c r="M53" s="10">
        <f>IF(J53=0,"",J53)</f>
        <v>9.08</v>
      </c>
      <c r="N53" s="10">
        <f>K53</f>
        <v>9.08</v>
      </c>
      <c r="O53" s="54">
        <f>IF(M53="", N53, M53)</f>
        <v>9.08</v>
      </c>
      <c r="R53" s="55">
        <f t="shared" si="2"/>
        <v>10</v>
      </c>
      <c r="S53" s="55">
        <f>H53</f>
        <v>9.1</v>
      </c>
      <c r="T53" s="56">
        <f>R53-S53</f>
        <v>0.90000000000000036</v>
      </c>
      <c r="U53" s="57">
        <f t="shared" si="9"/>
        <v>9</v>
      </c>
      <c r="V53" s="57">
        <f>I53</f>
        <v>9</v>
      </c>
      <c r="W53" s="58">
        <f>U53-V53</f>
        <v>0</v>
      </c>
      <c r="AA53" s="67"/>
    </row>
    <row r="54" spans="1:27" ht="38.15" customHeight="1" x14ac:dyDescent="0.85">
      <c r="A54" s="46">
        <v>22</v>
      </c>
      <c r="B54" s="47">
        <v>5.7</v>
      </c>
      <c r="C54" s="48" t="s">
        <v>110</v>
      </c>
      <c r="D54" s="49" t="s">
        <v>111</v>
      </c>
      <c r="E54" s="50"/>
      <c r="F54" s="51">
        <v>20.85</v>
      </c>
      <c r="G54" s="51">
        <v>20.9</v>
      </c>
      <c r="H54" s="51">
        <v>21.25</v>
      </c>
      <c r="I54" s="51">
        <v>20.8</v>
      </c>
      <c r="J54" s="51">
        <v>20.900000000000002</v>
      </c>
      <c r="K54" s="51">
        <v>20.650000000000002</v>
      </c>
      <c r="L54" s="52">
        <v>1538327</v>
      </c>
      <c r="M54" s="10">
        <f t="shared" si="10"/>
        <v>20.900000000000002</v>
      </c>
      <c r="N54" s="10">
        <f t="shared" si="11"/>
        <v>20.650000000000002</v>
      </c>
      <c r="O54" s="54">
        <f t="shared" si="4"/>
        <v>20.900000000000002</v>
      </c>
      <c r="R54" s="55">
        <f t="shared" si="2"/>
        <v>22</v>
      </c>
      <c r="S54" s="55">
        <f t="shared" si="5"/>
        <v>21.25</v>
      </c>
      <c r="T54" s="56">
        <f t="shared" si="6"/>
        <v>0.75</v>
      </c>
      <c r="U54" s="57">
        <f t="shared" si="9"/>
        <v>5.7</v>
      </c>
      <c r="V54" s="57">
        <f t="shared" si="7"/>
        <v>20.8</v>
      </c>
      <c r="W54" s="58">
        <f t="shared" si="8"/>
        <v>-15.100000000000001</v>
      </c>
      <c r="AA54" s="67"/>
    </row>
    <row r="55" spans="1:27" ht="38.15" customHeight="1" x14ac:dyDescent="0.85">
      <c r="A55" s="46">
        <v>5</v>
      </c>
      <c r="B55" s="59">
        <v>4</v>
      </c>
      <c r="C55" s="47" t="s">
        <v>112</v>
      </c>
      <c r="D55" s="49" t="s">
        <v>113</v>
      </c>
      <c r="E55" s="50"/>
      <c r="F55" s="51">
        <v>5.0199999999999996</v>
      </c>
      <c r="G55" s="51"/>
      <c r="H55" s="51"/>
      <c r="I55" s="51"/>
      <c r="J55" s="51"/>
      <c r="K55" s="51">
        <v>5</v>
      </c>
      <c r="L55" s="52"/>
      <c r="M55" s="10" t="str">
        <f t="shared" si="10"/>
        <v/>
      </c>
      <c r="N55" s="10">
        <f t="shared" si="11"/>
        <v>5</v>
      </c>
      <c r="O55" s="54">
        <f t="shared" si="4"/>
        <v>5</v>
      </c>
      <c r="R55" s="55">
        <f t="shared" si="2"/>
        <v>5</v>
      </c>
      <c r="S55" s="55">
        <f t="shared" si="5"/>
        <v>0</v>
      </c>
      <c r="T55" s="56">
        <f t="shared" si="6"/>
        <v>5</v>
      </c>
      <c r="U55" s="57">
        <f t="shared" si="9"/>
        <v>4</v>
      </c>
      <c r="V55" s="57">
        <f t="shared" si="7"/>
        <v>0</v>
      </c>
      <c r="W55" s="58">
        <f t="shared" si="8"/>
        <v>4</v>
      </c>
      <c r="AA55" s="67"/>
    </row>
    <row r="56" spans="1:27" ht="38.15" customHeight="1" x14ac:dyDescent="0.85">
      <c r="A56" s="46">
        <v>6</v>
      </c>
      <c r="B56" s="59">
        <v>6</v>
      </c>
      <c r="C56" s="48" t="s">
        <v>114</v>
      </c>
      <c r="D56" s="49" t="s">
        <v>115</v>
      </c>
      <c r="E56" s="50"/>
      <c r="F56" s="51">
        <v>6</v>
      </c>
      <c r="G56" s="51"/>
      <c r="H56" s="51"/>
      <c r="I56" s="51"/>
      <c r="J56" s="51"/>
      <c r="K56" s="51">
        <v>6</v>
      </c>
      <c r="L56" s="52"/>
      <c r="M56" s="10" t="str">
        <f t="shared" si="10"/>
        <v/>
      </c>
      <c r="N56" s="10">
        <f t="shared" si="11"/>
        <v>6</v>
      </c>
      <c r="O56" s="54">
        <f t="shared" si="4"/>
        <v>6</v>
      </c>
      <c r="R56" s="55">
        <f t="shared" si="2"/>
        <v>6</v>
      </c>
      <c r="S56" s="55">
        <f t="shared" si="5"/>
        <v>0</v>
      </c>
      <c r="T56" s="56">
        <f t="shared" si="6"/>
        <v>6</v>
      </c>
      <c r="U56" s="57">
        <f t="shared" si="9"/>
        <v>6</v>
      </c>
      <c r="V56" s="57">
        <f t="shared" si="7"/>
        <v>0</v>
      </c>
      <c r="W56" s="58">
        <f t="shared" si="8"/>
        <v>6</v>
      </c>
      <c r="Z56" s="65">
        <f>SUM(L52:L58)</f>
        <v>3084877</v>
      </c>
      <c r="AA56" s="67" t="e">
        <f>Z56/$K$109</f>
        <v>#VALUE!</v>
      </c>
    </row>
    <row r="57" spans="1:27" ht="38.15" customHeight="1" x14ac:dyDescent="0.85">
      <c r="A57" s="46">
        <v>50</v>
      </c>
      <c r="B57" s="47">
        <v>21</v>
      </c>
      <c r="C57" s="48" t="s">
        <v>116</v>
      </c>
      <c r="D57" s="49" t="s">
        <v>117</v>
      </c>
      <c r="E57" s="50"/>
      <c r="F57" s="51">
        <v>42.9</v>
      </c>
      <c r="G57" s="51">
        <v>43</v>
      </c>
      <c r="H57" s="51">
        <v>43.7</v>
      </c>
      <c r="I57" s="51">
        <v>42.75</v>
      </c>
      <c r="J57" s="51">
        <v>43.1</v>
      </c>
      <c r="K57" s="51">
        <v>43.35</v>
      </c>
      <c r="L57" s="52">
        <v>38452</v>
      </c>
      <c r="M57" s="10">
        <f t="shared" si="10"/>
        <v>43.1</v>
      </c>
      <c r="N57" s="10">
        <f t="shared" si="11"/>
        <v>43.35</v>
      </c>
      <c r="O57" s="54">
        <f t="shared" si="4"/>
        <v>43.1</v>
      </c>
      <c r="R57" s="55">
        <f t="shared" si="2"/>
        <v>50</v>
      </c>
      <c r="S57" s="55">
        <f>H57</f>
        <v>43.7</v>
      </c>
      <c r="T57" s="56">
        <f t="shared" si="6"/>
        <v>6.2999999999999972</v>
      </c>
      <c r="U57" s="57">
        <f t="shared" si="9"/>
        <v>21</v>
      </c>
      <c r="V57" s="57">
        <f t="shared" si="7"/>
        <v>42.75</v>
      </c>
      <c r="W57" s="58">
        <f t="shared" si="8"/>
        <v>-21.75</v>
      </c>
      <c r="AA57" s="67"/>
    </row>
    <row r="58" spans="1:27" ht="38.15" customHeight="1" x14ac:dyDescent="0.85">
      <c r="A58" s="46">
        <v>24.75</v>
      </c>
      <c r="B58" s="47">
        <v>6.3</v>
      </c>
      <c r="C58" s="48" t="s">
        <v>118</v>
      </c>
      <c r="D58" s="49" t="s">
        <v>119</v>
      </c>
      <c r="E58" s="50"/>
      <c r="F58" s="51">
        <v>6.52</v>
      </c>
      <c r="G58" s="51">
        <v>6.64</v>
      </c>
      <c r="H58" s="51">
        <v>6.64</v>
      </c>
      <c r="I58" s="51">
        <v>6.38</v>
      </c>
      <c r="J58" s="51">
        <v>6.48</v>
      </c>
      <c r="K58" s="51">
        <v>6.6400000000000006</v>
      </c>
      <c r="L58" s="52">
        <v>102786</v>
      </c>
      <c r="M58" s="10">
        <f t="shared" si="10"/>
        <v>6.48</v>
      </c>
      <c r="N58" s="10">
        <f t="shared" si="11"/>
        <v>6.6400000000000006</v>
      </c>
      <c r="O58" s="54">
        <f t="shared" si="4"/>
        <v>6.48</v>
      </c>
      <c r="R58" s="55">
        <f t="shared" si="2"/>
        <v>24.75</v>
      </c>
      <c r="S58" s="55">
        <f>H58</f>
        <v>6.64</v>
      </c>
      <c r="T58" s="56">
        <f t="shared" si="6"/>
        <v>18.11</v>
      </c>
      <c r="U58" s="57">
        <f t="shared" si="9"/>
        <v>6.3</v>
      </c>
      <c r="V58" s="57">
        <f t="shared" si="7"/>
        <v>6.38</v>
      </c>
      <c r="W58" s="58">
        <f t="shared" si="8"/>
        <v>-8.0000000000000071E-2</v>
      </c>
      <c r="AA58" s="67"/>
    </row>
    <row r="59" spans="1:27" ht="38.15" customHeight="1" x14ac:dyDescent="0.85">
      <c r="A59" s="91"/>
      <c r="B59" s="59"/>
      <c r="C59" s="48"/>
      <c r="D59" s="49"/>
      <c r="E59" s="50"/>
      <c r="F59" s="51"/>
      <c r="G59" s="51"/>
      <c r="H59" s="51"/>
      <c r="I59" s="51"/>
      <c r="J59" s="51"/>
      <c r="K59" s="47"/>
      <c r="L59" s="52"/>
      <c r="M59" s="10" t="str">
        <f t="shared" si="10"/>
        <v/>
      </c>
      <c r="N59" s="10">
        <f t="shared" si="11"/>
        <v>0</v>
      </c>
      <c r="O59" s="54"/>
      <c r="R59" s="55">
        <f t="shared" si="2"/>
        <v>0</v>
      </c>
      <c r="S59" s="55">
        <f t="shared" si="5"/>
        <v>0</v>
      </c>
      <c r="T59" s="56">
        <f t="shared" si="6"/>
        <v>0</v>
      </c>
      <c r="U59" s="57">
        <f t="shared" si="9"/>
        <v>0</v>
      </c>
      <c r="V59" s="57">
        <f t="shared" si="7"/>
        <v>0</v>
      </c>
      <c r="W59" s="58">
        <f t="shared" si="8"/>
        <v>0</v>
      </c>
      <c r="AA59" s="67"/>
    </row>
    <row r="60" spans="1:27" ht="38.15" customHeight="1" x14ac:dyDescent="0.85">
      <c r="A60" s="77"/>
      <c r="B60" s="78"/>
      <c r="C60" s="70" t="s">
        <v>120</v>
      </c>
      <c r="D60" s="79"/>
      <c r="E60" s="80" t="s">
        <v>94</v>
      </c>
      <c r="F60" s="73"/>
      <c r="G60" s="73"/>
      <c r="H60" s="73"/>
      <c r="I60" s="73"/>
      <c r="J60" s="81"/>
      <c r="K60" s="82"/>
      <c r="L60" s="76"/>
      <c r="M60" s="10" t="str">
        <f t="shared" si="10"/>
        <v/>
      </c>
      <c r="N60" s="10">
        <f t="shared" si="11"/>
        <v>0</v>
      </c>
      <c r="O60" s="54"/>
      <c r="Q60" s="10" t="s">
        <v>0</v>
      </c>
      <c r="R60" s="55">
        <f t="shared" si="2"/>
        <v>0</v>
      </c>
      <c r="S60" s="55">
        <f t="shared" si="5"/>
        <v>0</v>
      </c>
      <c r="T60" s="56">
        <f t="shared" si="6"/>
        <v>0</v>
      </c>
      <c r="U60" s="57">
        <f t="shared" si="9"/>
        <v>0</v>
      </c>
      <c r="V60" s="57">
        <f t="shared" si="7"/>
        <v>0</v>
      </c>
      <c r="W60" s="58">
        <f t="shared" si="8"/>
        <v>0</v>
      </c>
      <c r="AA60" s="67"/>
    </row>
    <row r="61" spans="1:27" ht="38.15" customHeight="1" x14ac:dyDescent="0.85">
      <c r="A61" s="46">
        <v>21.9</v>
      </c>
      <c r="B61" s="47">
        <v>5.92</v>
      </c>
      <c r="C61" s="48" t="s">
        <v>121</v>
      </c>
      <c r="D61" s="49" t="s">
        <v>122</v>
      </c>
      <c r="E61" s="50"/>
      <c r="F61" s="51">
        <v>18.05</v>
      </c>
      <c r="G61" s="51">
        <v>18.2</v>
      </c>
      <c r="H61" s="51">
        <v>18.5</v>
      </c>
      <c r="I61" s="51">
        <v>18</v>
      </c>
      <c r="J61" s="51">
        <v>18.25</v>
      </c>
      <c r="K61" s="51">
        <v>18.5</v>
      </c>
      <c r="L61" s="52">
        <v>41325</v>
      </c>
      <c r="M61" s="10">
        <f t="shared" si="10"/>
        <v>18.25</v>
      </c>
      <c r="N61" s="10">
        <f t="shared" si="11"/>
        <v>18.5</v>
      </c>
      <c r="O61" s="54">
        <f t="shared" si="4"/>
        <v>18.25</v>
      </c>
      <c r="R61" s="55">
        <f t="shared" si="2"/>
        <v>21.9</v>
      </c>
      <c r="S61" s="55">
        <f t="shared" si="5"/>
        <v>18.5</v>
      </c>
      <c r="T61" s="56">
        <f t="shared" si="6"/>
        <v>3.3999999999999986</v>
      </c>
      <c r="U61" s="57">
        <f t="shared" si="9"/>
        <v>5.92</v>
      </c>
      <c r="V61" s="57">
        <f t="shared" si="7"/>
        <v>18</v>
      </c>
      <c r="W61" s="58">
        <f t="shared" si="8"/>
        <v>-12.08</v>
      </c>
      <c r="AA61" s="67"/>
    </row>
    <row r="62" spans="1:27" ht="38.15" customHeight="1" x14ac:dyDescent="0.85">
      <c r="A62" s="46">
        <v>6.62</v>
      </c>
      <c r="B62" s="47">
        <v>2.5499999999999998</v>
      </c>
      <c r="C62" s="48" t="s">
        <v>123</v>
      </c>
      <c r="D62" s="49" t="s">
        <v>124</v>
      </c>
      <c r="E62" s="50"/>
      <c r="F62" s="51">
        <v>4.5999999999999996</v>
      </c>
      <c r="G62" s="51">
        <v>4.67</v>
      </c>
      <c r="H62" s="51">
        <v>4.75</v>
      </c>
      <c r="I62" s="51">
        <v>4.5999999999999996</v>
      </c>
      <c r="J62" s="51">
        <v>4.68</v>
      </c>
      <c r="K62" s="51">
        <v>4.66</v>
      </c>
      <c r="L62" s="52">
        <v>244690</v>
      </c>
      <c r="M62" s="10">
        <f t="shared" si="10"/>
        <v>4.68</v>
      </c>
      <c r="N62" s="10">
        <f t="shared" si="11"/>
        <v>4.66</v>
      </c>
      <c r="O62" s="54">
        <f t="shared" si="4"/>
        <v>4.68</v>
      </c>
      <c r="R62" s="55">
        <f t="shared" si="2"/>
        <v>6.62</v>
      </c>
      <c r="S62" s="55">
        <f t="shared" si="5"/>
        <v>4.75</v>
      </c>
      <c r="T62" s="56">
        <f t="shared" si="6"/>
        <v>1.87</v>
      </c>
      <c r="U62" s="57">
        <f t="shared" si="9"/>
        <v>2.5499999999999998</v>
      </c>
      <c r="V62" s="57">
        <f t="shared" si="7"/>
        <v>4.5999999999999996</v>
      </c>
      <c r="W62" s="58">
        <f t="shared" si="8"/>
        <v>-2.0499999999999998</v>
      </c>
      <c r="AA62" s="67"/>
    </row>
    <row r="63" spans="1:27" ht="38.15" customHeight="1" x14ac:dyDescent="0.85">
      <c r="A63" s="46">
        <v>437.75</v>
      </c>
      <c r="B63" s="47">
        <v>182</v>
      </c>
      <c r="C63" s="48" t="s">
        <v>125</v>
      </c>
      <c r="D63" s="49" t="s">
        <v>126</v>
      </c>
      <c r="E63" s="50"/>
      <c r="F63" s="51">
        <v>421.75</v>
      </c>
      <c r="G63" s="51">
        <v>423</v>
      </c>
      <c r="H63" s="51">
        <v>425</v>
      </c>
      <c r="I63" s="51">
        <v>400</v>
      </c>
      <c r="J63" s="51">
        <v>421.5</v>
      </c>
      <c r="K63" s="51">
        <v>420.25</v>
      </c>
      <c r="L63" s="52">
        <v>2000</v>
      </c>
      <c r="M63" s="10">
        <f t="shared" si="10"/>
        <v>421.5</v>
      </c>
      <c r="N63" s="10">
        <f t="shared" si="11"/>
        <v>420.25</v>
      </c>
      <c r="O63" s="54">
        <f t="shared" si="4"/>
        <v>421.5</v>
      </c>
      <c r="R63" s="55">
        <f t="shared" si="2"/>
        <v>437.75</v>
      </c>
      <c r="S63" s="55">
        <f t="shared" si="5"/>
        <v>425</v>
      </c>
      <c r="T63" s="56">
        <f t="shared" si="6"/>
        <v>12.75</v>
      </c>
      <c r="U63" s="57">
        <f t="shared" si="9"/>
        <v>182</v>
      </c>
      <c r="V63" s="57">
        <f t="shared" si="7"/>
        <v>400</v>
      </c>
      <c r="W63" s="58">
        <f t="shared" si="8"/>
        <v>-218</v>
      </c>
      <c r="AA63" s="67"/>
    </row>
    <row r="64" spans="1:27" ht="38.15" customHeight="1" x14ac:dyDescent="0.85">
      <c r="A64" s="46">
        <v>4.0199999999999996</v>
      </c>
      <c r="B64" s="47">
        <v>1.5</v>
      </c>
      <c r="C64" s="48" t="s">
        <v>127</v>
      </c>
      <c r="D64" s="49" t="s">
        <v>128</v>
      </c>
      <c r="E64" s="50"/>
      <c r="F64" s="51">
        <v>3.74</v>
      </c>
      <c r="G64" s="51">
        <v>3.75</v>
      </c>
      <c r="H64" s="51">
        <v>3.8</v>
      </c>
      <c r="I64" s="51">
        <v>3.67</v>
      </c>
      <c r="J64" s="51">
        <v>3.74</v>
      </c>
      <c r="K64" s="51">
        <v>3.7800000000000002</v>
      </c>
      <c r="L64" s="52">
        <v>803777</v>
      </c>
      <c r="M64" s="10">
        <f t="shared" si="10"/>
        <v>3.74</v>
      </c>
      <c r="N64" s="10">
        <f t="shared" si="11"/>
        <v>3.7800000000000002</v>
      </c>
      <c r="O64" s="54">
        <f t="shared" si="4"/>
        <v>3.74</v>
      </c>
      <c r="R64" s="55">
        <f t="shared" si="2"/>
        <v>4.0199999999999996</v>
      </c>
      <c r="S64" s="55">
        <f t="shared" si="5"/>
        <v>3.8</v>
      </c>
      <c r="T64" s="56">
        <f t="shared" si="6"/>
        <v>0.21999999999999975</v>
      </c>
      <c r="U64" s="57">
        <f t="shared" si="9"/>
        <v>1.5</v>
      </c>
      <c r="V64" s="57">
        <f t="shared" si="7"/>
        <v>3.67</v>
      </c>
      <c r="W64" s="58">
        <f t="shared" si="8"/>
        <v>-2.17</v>
      </c>
      <c r="Z64" s="65">
        <f>SUM(L61:L66)</f>
        <v>1185726</v>
      </c>
      <c r="AA64" s="67" t="e">
        <f>Z64/$K$109</f>
        <v>#VALUE!</v>
      </c>
    </row>
    <row r="65" spans="1:27" ht="38.15" customHeight="1" x14ac:dyDescent="0.85">
      <c r="A65" s="46">
        <v>12.2</v>
      </c>
      <c r="B65" s="47">
        <v>8.14</v>
      </c>
      <c r="C65" s="48" t="s">
        <v>129</v>
      </c>
      <c r="D65" s="49" t="s">
        <v>130</v>
      </c>
      <c r="E65" s="50" t="s">
        <v>29</v>
      </c>
      <c r="F65" s="51">
        <v>9.1999999999999993</v>
      </c>
      <c r="G65" s="51">
        <v>9.3000000000000007</v>
      </c>
      <c r="H65" s="51">
        <v>9.68</v>
      </c>
      <c r="I65" s="51">
        <v>9.1</v>
      </c>
      <c r="J65" s="51">
        <v>9.16</v>
      </c>
      <c r="K65" s="51">
        <v>9.32</v>
      </c>
      <c r="L65" s="52">
        <v>79953</v>
      </c>
      <c r="M65" s="10">
        <f t="shared" si="10"/>
        <v>9.16</v>
      </c>
      <c r="N65" s="10">
        <f t="shared" si="11"/>
        <v>9.32</v>
      </c>
      <c r="O65" s="54">
        <f t="shared" si="4"/>
        <v>9.16</v>
      </c>
      <c r="R65" s="55">
        <f t="shared" si="2"/>
        <v>12.2</v>
      </c>
      <c r="S65" s="55">
        <f t="shared" si="5"/>
        <v>9.68</v>
      </c>
      <c r="T65" s="56">
        <f t="shared" si="6"/>
        <v>2.5199999999999996</v>
      </c>
      <c r="U65" s="57">
        <f t="shared" si="9"/>
        <v>8.14</v>
      </c>
      <c r="V65" s="57">
        <f t="shared" si="7"/>
        <v>9.1</v>
      </c>
      <c r="W65" s="58">
        <f t="shared" si="8"/>
        <v>-0.95999999999999908</v>
      </c>
      <c r="AA65" s="67"/>
    </row>
    <row r="66" spans="1:27" ht="38.15" customHeight="1" x14ac:dyDescent="0.85">
      <c r="A66" s="46">
        <v>11</v>
      </c>
      <c r="B66" s="47">
        <v>5.5</v>
      </c>
      <c r="C66" s="48" t="s">
        <v>131</v>
      </c>
      <c r="D66" s="49" t="s">
        <v>132</v>
      </c>
      <c r="E66" s="50"/>
      <c r="F66" s="51">
        <v>9.1999999999999993</v>
      </c>
      <c r="G66" s="51">
        <v>9.6999999999999993</v>
      </c>
      <c r="H66" s="51">
        <v>9.6999999999999993</v>
      </c>
      <c r="I66" s="51">
        <v>9.1999999999999993</v>
      </c>
      <c r="J66" s="51">
        <v>9.52</v>
      </c>
      <c r="K66" s="51">
        <v>9.44</v>
      </c>
      <c r="L66" s="52">
        <v>13981</v>
      </c>
      <c r="M66" s="10">
        <f t="shared" si="10"/>
        <v>9.52</v>
      </c>
      <c r="N66" s="10">
        <f t="shared" si="11"/>
        <v>9.44</v>
      </c>
      <c r="O66" s="54">
        <f t="shared" si="4"/>
        <v>9.52</v>
      </c>
      <c r="R66" s="55">
        <f t="shared" si="2"/>
        <v>11</v>
      </c>
      <c r="S66" s="55">
        <f t="shared" si="5"/>
        <v>9.6999999999999993</v>
      </c>
      <c r="T66" s="56">
        <f t="shared" si="6"/>
        <v>1.3000000000000007</v>
      </c>
      <c r="U66" s="57">
        <f t="shared" si="9"/>
        <v>5.5</v>
      </c>
      <c r="V66" s="57">
        <f t="shared" si="7"/>
        <v>9.1999999999999993</v>
      </c>
      <c r="W66" s="58">
        <f t="shared" si="8"/>
        <v>-3.6999999999999993</v>
      </c>
      <c r="AA66" s="67"/>
    </row>
    <row r="67" spans="1:27" ht="38.15" customHeight="1" x14ac:dyDescent="0.85">
      <c r="A67" s="92"/>
      <c r="B67" s="93"/>
      <c r="C67" s="94"/>
      <c r="D67" s="95"/>
      <c r="E67" s="94"/>
      <c r="F67" s="51"/>
      <c r="G67" s="51"/>
      <c r="H67" s="51"/>
      <c r="I67" s="51"/>
      <c r="J67" s="96"/>
      <c r="K67" s="94"/>
      <c r="L67" s="52"/>
      <c r="M67" s="10" t="str">
        <f t="shared" si="10"/>
        <v/>
      </c>
      <c r="N67" s="10">
        <f t="shared" si="11"/>
        <v>0</v>
      </c>
      <c r="O67" s="54"/>
      <c r="R67" s="55">
        <f t="shared" si="2"/>
        <v>0</v>
      </c>
      <c r="S67" s="55">
        <f t="shared" si="5"/>
        <v>0</v>
      </c>
      <c r="T67" s="56">
        <f t="shared" si="6"/>
        <v>0</v>
      </c>
      <c r="U67" s="57">
        <f t="shared" si="9"/>
        <v>0</v>
      </c>
      <c r="V67" s="57">
        <f t="shared" si="7"/>
        <v>0</v>
      </c>
      <c r="W67" s="58">
        <f t="shared" si="8"/>
        <v>0</v>
      </c>
      <c r="AA67" s="67"/>
    </row>
    <row r="68" spans="1:27" ht="38.15" customHeight="1" x14ac:dyDescent="0.85">
      <c r="A68" s="77"/>
      <c r="B68" s="78"/>
      <c r="C68" s="70" t="s">
        <v>133</v>
      </c>
      <c r="D68" s="79"/>
      <c r="E68" s="80"/>
      <c r="F68" s="73"/>
      <c r="G68" s="73"/>
      <c r="H68" s="73"/>
      <c r="I68" s="73"/>
      <c r="J68" s="81"/>
      <c r="K68" s="82"/>
      <c r="L68" s="76"/>
      <c r="M68" s="10" t="str">
        <f t="shared" si="10"/>
        <v/>
      </c>
      <c r="N68" s="10">
        <f t="shared" si="11"/>
        <v>0</v>
      </c>
      <c r="O68" s="54"/>
      <c r="R68" s="55">
        <f t="shared" si="2"/>
        <v>0</v>
      </c>
      <c r="S68" s="55">
        <f t="shared" si="5"/>
        <v>0</v>
      </c>
      <c r="T68" s="56">
        <f t="shared" si="6"/>
        <v>0</v>
      </c>
      <c r="U68" s="57">
        <f t="shared" si="9"/>
        <v>0</v>
      </c>
      <c r="V68" s="57">
        <f t="shared" si="7"/>
        <v>0</v>
      </c>
      <c r="W68" s="58">
        <f t="shared" si="8"/>
        <v>0</v>
      </c>
      <c r="AA68" s="67"/>
    </row>
    <row r="69" spans="1:27" ht="38.15" customHeight="1" x14ac:dyDescent="0.85">
      <c r="A69" s="46">
        <v>19.5</v>
      </c>
      <c r="B69" s="47">
        <v>10.85</v>
      </c>
      <c r="C69" s="48" t="s">
        <v>134</v>
      </c>
      <c r="D69" s="49" t="s">
        <v>135</v>
      </c>
      <c r="E69" s="50" t="s">
        <v>39</v>
      </c>
      <c r="F69" s="51">
        <v>17.2</v>
      </c>
      <c r="G69" s="51">
        <v>17.399999999999999</v>
      </c>
      <c r="H69" s="51">
        <v>17.5</v>
      </c>
      <c r="I69" s="51">
        <v>16.8</v>
      </c>
      <c r="J69" s="51">
        <v>17.100000000000001</v>
      </c>
      <c r="K69" s="51">
        <v>17.3</v>
      </c>
      <c r="L69" s="52">
        <v>236303</v>
      </c>
      <c r="M69" s="10">
        <f t="shared" si="10"/>
        <v>17.100000000000001</v>
      </c>
      <c r="N69" s="10">
        <f t="shared" si="11"/>
        <v>17.3</v>
      </c>
      <c r="O69" s="54">
        <f t="shared" si="4"/>
        <v>17.100000000000001</v>
      </c>
      <c r="R69" s="55">
        <f t="shared" ref="R69:R87" si="12">A69</f>
        <v>19.5</v>
      </c>
      <c r="S69" s="55">
        <f t="shared" si="5"/>
        <v>17.5</v>
      </c>
      <c r="T69" s="56">
        <f t="shared" si="6"/>
        <v>2</v>
      </c>
      <c r="U69" s="57">
        <f t="shared" si="9"/>
        <v>10.85</v>
      </c>
      <c r="V69" s="57">
        <f t="shared" si="7"/>
        <v>16.8</v>
      </c>
      <c r="W69" s="58">
        <f t="shared" si="8"/>
        <v>-5.9500000000000011</v>
      </c>
      <c r="AA69" s="67"/>
    </row>
    <row r="70" spans="1:27" ht="38.15" customHeight="1" x14ac:dyDescent="0.85">
      <c r="A70" s="46">
        <v>1.83</v>
      </c>
      <c r="B70" s="47">
        <v>0.48</v>
      </c>
      <c r="C70" s="85" t="s">
        <v>136</v>
      </c>
      <c r="D70" s="49" t="s">
        <v>137</v>
      </c>
      <c r="E70" s="50"/>
      <c r="F70" s="51">
        <v>1.1399999999999999</v>
      </c>
      <c r="G70" s="51">
        <v>1.1599999999999999</v>
      </c>
      <c r="H70" s="51">
        <v>1.21</v>
      </c>
      <c r="I70" s="51">
        <v>1.1399999999999999</v>
      </c>
      <c r="J70" s="51">
        <v>1.1599999999999999</v>
      </c>
      <c r="K70" s="51">
        <v>1.18</v>
      </c>
      <c r="L70" s="52">
        <v>409364</v>
      </c>
      <c r="M70" s="10">
        <f t="shared" si="10"/>
        <v>1.1599999999999999</v>
      </c>
      <c r="N70" s="10">
        <f t="shared" si="11"/>
        <v>1.18</v>
      </c>
      <c r="O70" s="54">
        <f t="shared" si="4"/>
        <v>1.1599999999999999</v>
      </c>
      <c r="R70" s="55">
        <f t="shared" si="12"/>
        <v>1.83</v>
      </c>
      <c r="S70" s="55">
        <f t="shared" si="5"/>
        <v>1.21</v>
      </c>
      <c r="T70" s="56">
        <f t="shared" si="6"/>
        <v>0.62000000000000011</v>
      </c>
      <c r="U70" s="57">
        <f t="shared" si="9"/>
        <v>0.48</v>
      </c>
      <c r="V70" s="57">
        <f t="shared" si="7"/>
        <v>1.1399999999999999</v>
      </c>
      <c r="W70" s="58">
        <f t="shared" si="8"/>
        <v>-0.65999999999999992</v>
      </c>
      <c r="AA70" s="67"/>
    </row>
    <row r="71" spans="1:27" ht="38.15" customHeight="1" x14ac:dyDescent="0.85">
      <c r="A71" s="46">
        <v>1500</v>
      </c>
      <c r="B71" s="51">
        <v>1220</v>
      </c>
      <c r="C71" s="85" t="s">
        <v>138</v>
      </c>
      <c r="D71" s="49" t="s">
        <v>139</v>
      </c>
      <c r="E71" s="50"/>
      <c r="F71" s="51">
        <v>1255</v>
      </c>
      <c r="G71" s="51">
        <v>1350</v>
      </c>
      <c r="H71" s="51">
        <v>1440</v>
      </c>
      <c r="I71" s="51">
        <v>1440</v>
      </c>
      <c r="J71" s="97">
        <v>1355</v>
      </c>
      <c r="K71" s="98">
        <v>1355</v>
      </c>
      <c r="L71" s="52">
        <v>1</v>
      </c>
      <c r="M71" s="10">
        <f t="shared" si="10"/>
        <v>1355</v>
      </c>
      <c r="N71" s="10">
        <f t="shared" si="11"/>
        <v>1355</v>
      </c>
      <c r="O71" s="54">
        <f t="shared" si="4"/>
        <v>1355</v>
      </c>
      <c r="R71" s="86">
        <f t="shared" si="12"/>
        <v>1500</v>
      </c>
      <c r="S71" s="86">
        <f t="shared" si="5"/>
        <v>1440</v>
      </c>
      <c r="T71" s="87">
        <f t="shared" si="6"/>
        <v>60</v>
      </c>
      <c r="U71" s="88">
        <f t="shared" si="9"/>
        <v>1220</v>
      </c>
      <c r="V71" s="88">
        <f t="shared" si="7"/>
        <v>1440</v>
      </c>
      <c r="W71" s="89">
        <f t="shared" si="8"/>
        <v>-220</v>
      </c>
      <c r="Z71" s="65">
        <f>SUM(L69:L73)</f>
        <v>663232</v>
      </c>
      <c r="AA71" s="67" t="e">
        <f>Z71/$K$109</f>
        <v>#VALUE!</v>
      </c>
    </row>
    <row r="72" spans="1:27" ht="38.15" customHeight="1" x14ac:dyDescent="0.85">
      <c r="A72" s="46">
        <v>9</v>
      </c>
      <c r="B72" s="47">
        <v>1.91</v>
      </c>
      <c r="C72" s="48" t="s">
        <v>140</v>
      </c>
      <c r="D72" s="49" t="s">
        <v>141</v>
      </c>
      <c r="E72" s="50"/>
      <c r="F72" s="51">
        <v>8</v>
      </c>
      <c r="G72" s="51">
        <v>8.2200000000000006</v>
      </c>
      <c r="H72" s="51">
        <v>8.6</v>
      </c>
      <c r="I72" s="51">
        <v>7.52</v>
      </c>
      <c r="J72" s="51">
        <v>8.3000000000000007</v>
      </c>
      <c r="K72" s="51">
        <v>8.02</v>
      </c>
      <c r="L72" s="52">
        <v>17564</v>
      </c>
      <c r="M72" s="10">
        <f t="shared" si="10"/>
        <v>8.3000000000000007</v>
      </c>
      <c r="N72" s="10">
        <f t="shared" si="11"/>
        <v>8.02</v>
      </c>
      <c r="O72" s="54">
        <f t="shared" ref="O72:O99" si="13">IF(M72="", N72, M72)</f>
        <v>8.3000000000000007</v>
      </c>
      <c r="R72" s="55">
        <f t="shared" si="12"/>
        <v>9</v>
      </c>
      <c r="S72" s="55">
        <f t="shared" ref="S72:S99" si="14">H72</f>
        <v>8.6</v>
      </c>
      <c r="T72" s="56">
        <f t="shared" ref="T72:T99" si="15">R72-S72</f>
        <v>0.40000000000000036</v>
      </c>
      <c r="U72" s="57">
        <f t="shared" si="9"/>
        <v>1.91</v>
      </c>
      <c r="V72" s="57">
        <f t="shared" ref="V72:V99" si="16">I72</f>
        <v>7.52</v>
      </c>
      <c r="W72" s="58">
        <f t="shared" ref="W72:W99" si="17">U72-V72</f>
        <v>-5.6099999999999994</v>
      </c>
      <c r="AA72" s="67"/>
    </row>
    <row r="73" spans="1:27" ht="38.15" customHeight="1" x14ac:dyDescent="0.85">
      <c r="A73" s="46">
        <v>1.78</v>
      </c>
      <c r="B73" s="47">
        <v>0.28999999999999998</v>
      </c>
      <c r="C73" s="48" t="s">
        <v>142</v>
      </c>
      <c r="D73" s="49" t="s">
        <v>143</v>
      </c>
      <c r="E73" s="50" t="s">
        <v>68</v>
      </c>
      <c r="F73" s="51"/>
      <c r="G73" s="51"/>
      <c r="H73" s="51"/>
      <c r="I73" s="51"/>
      <c r="J73" s="51"/>
      <c r="K73" s="51">
        <v>1.1200000000000001</v>
      </c>
      <c r="L73" s="52"/>
      <c r="M73" s="10" t="str">
        <f t="shared" si="10"/>
        <v/>
      </c>
      <c r="N73" s="10">
        <f t="shared" si="11"/>
        <v>1.1200000000000001</v>
      </c>
      <c r="O73" s="54">
        <f t="shared" si="13"/>
        <v>1.1200000000000001</v>
      </c>
      <c r="R73" s="55">
        <f t="shared" si="12"/>
        <v>1.78</v>
      </c>
      <c r="S73" s="55">
        <f t="shared" si="14"/>
        <v>0</v>
      </c>
      <c r="T73" s="56">
        <f t="shared" si="15"/>
        <v>1.78</v>
      </c>
      <c r="U73" s="57">
        <f t="shared" si="9"/>
        <v>0.28999999999999998</v>
      </c>
      <c r="V73" s="57">
        <f t="shared" si="16"/>
        <v>0</v>
      </c>
      <c r="W73" s="58">
        <f t="shared" si="17"/>
        <v>0.28999999999999998</v>
      </c>
      <c r="AA73" s="67"/>
    </row>
    <row r="74" spans="1:27" ht="38.15" customHeight="1" x14ac:dyDescent="0.85">
      <c r="A74" s="66"/>
      <c r="B74" s="59"/>
      <c r="C74" s="48"/>
      <c r="D74" s="49"/>
      <c r="E74" s="50"/>
      <c r="F74" s="51"/>
      <c r="G74" s="51"/>
      <c r="H74" s="51"/>
      <c r="I74" s="51"/>
      <c r="J74" s="51"/>
      <c r="K74" s="47"/>
      <c r="L74" s="52"/>
      <c r="M74" s="10" t="str">
        <f t="shared" si="10"/>
        <v/>
      </c>
      <c r="N74" s="10">
        <f t="shared" si="11"/>
        <v>0</v>
      </c>
      <c r="O74" s="54"/>
      <c r="R74" s="55">
        <f t="shared" si="12"/>
        <v>0</v>
      </c>
      <c r="S74" s="55">
        <f t="shared" si="14"/>
        <v>0</v>
      </c>
      <c r="T74" s="56">
        <f t="shared" si="15"/>
        <v>0</v>
      </c>
      <c r="U74" s="57">
        <f t="shared" si="9"/>
        <v>0</v>
      </c>
      <c r="V74" s="57">
        <f t="shared" si="16"/>
        <v>0</v>
      </c>
      <c r="W74" s="58">
        <f t="shared" si="17"/>
        <v>0</v>
      </c>
      <c r="Z74" s="65">
        <f>SUM(L76)</f>
        <v>556222</v>
      </c>
      <c r="AA74" s="67" t="e">
        <f>Z74/$K$109</f>
        <v>#VALUE!</v>
      </c>
    </row>
    <row r="75" spans="1:27" ht="38.15" customHeight="1" x14ac:dyDescent="0.85">
      <c r="A75" s="77"/>
      <c r="B75" s="78"/>
      <c r="C75" s="70" t="s">
        <v>144</v>
      </c>
      <c r="D75" s="79"/>
      <c r="E75" s="80"/>
      <c r="F75" s="73"/>
      <c r="G75" s="73"/>
      <c r="H75" s="73"/>
      <c r="I75" s="73"/>
      <c r="J75" s="81"/>
      <c r="K75" s="82"/>
      <c r="L75" s="76"/>
      <c r="M75" s="10" t="str">
        <f t="shared" si="10"/>
        <v/>
      </c>
      <c r="N75" s="10">
        <f t="shared" si="11"/>
        <v>0</v>
      </c>
      <c r="O75" s="54"/>
      <c r="R75" s="55">
        <f t="shared" si="12"/>
        <v>0</v>
      </c>
      <c r="S75" s="55">
        <f t="shared" si="14"/>
        <v>0</v>
      </c>
      <c r="T75" s="56">
        <f t="shared" si="15"/>
        <v>0</v>
      </c>
      <c r="U75" s="57">
        <f t="shared" si="9"/>
        <v>0</v>
      </c>
      <c r="V75" s="57">
        <f t="shared" si="16"/>
        <v>0</v>
      </c>
      <c r="W75" s="58">
        <f t="shared" si="17"/>
        <v>0</v>
      </c>
      <c r="AA75" s="67"/>
    </row>
    <row r="76" spans="1:27" ht="38.15" customHeight="1" x14ac:dyDescent="0.85">
      <c r="A76" s="46">
        <v>27.3</v>
      </c>
      <c r="B76" s="47">
        <v>6.5</v>
      </c>
      <c r="C76" s="48" t="s">
        <v>145</v>
      </c>
      <c r="D76" s="49" t="s">
        <v>146</v>
      </c>
      <c r="E76" s="50"/>
      <c r="F76" s="51">
        <v>26.95</v>
      </c>
      <c r="G76" s="51">
        <v>26.95</v>
      </c>
      <c r="H76" s="51">
        <v>27.3</v>
      </c>
      <c r="I76" s="51">
        <v>26.25</v>
      </c>
      <c r="J76" s="51">
        <v>26.75</v>
      </c>
      <c r="K76" s="51">
        <v>24.85</v>
      </c>
      <c r="L76" s="52">
        <v>556222</v>
      </c>
      <c r="M76" s="10">
        <f t="shared" si="10"/>
        <v>26.75</v>
      </c>
      <c r="N76" s="10">
        <f t="shared" si="11"/>
        <v>24.85</v>
      </c>
      <c r="O76" s="54">
        <f t="shared" si="13"/>
        <v>26.75</v>
      </c>
      <c r="R76" s="55">
        <f t="shared" si="12"/>
        <v>27.3</v>
      </c>
      <c r="S76" s="55">
        <f t="shared" si="14"/>
        <v>27.3</v>
      </c>
      <c r="T76" s="56">
        <f t="shared" si="15"/>
        <v>0</v>
      </c>
      <c r="U76" s="57">
        <f t="shared" si="9"/>
        <v>6.5</v>
      </c>
      <c r="V76" s="57">
        <f t="shared" si="16"/>
        <v>26.25</v>
      </c>
      <c r="W76" s="58">
        <f t="shared" si="17"/>
        <v>-19.75</v>
      </c>
      <c r="AA76" s="67"/>
    </row>
    <row r="77" spans="1:27" ht="38.15" customHeight="1" x14ac:dyDescent="0.85">
      <c r="A77" s="66"/>
      <c r="B77" s="59"/>
      <c r="C77" s="48"/>
      <c r="D77" s="49"/>
      <c r="E77" s="50"/>
      <c r="F77" s="51"/>
      <c r="G77" s="51"/>
      <c r="H77" s="51"/>
      <c r="I77" s="51"/>
      <c r="J77" s="51"/>
      <c r="K77" s="47"/>
      <c r="L77" s="52"/>
      <c r="M77" s="10" t="str">
        <f t="shared" si="10"/>
        <v/>
      </c>
      <c r="N77" s="10">
        <f t="shared" si="11"/>
        <v>0</v>
      </c>
      <c r="O77" s="54"/>
      <c r="R77" s="55">
        <f t="shared" si="12"/>
        <v>0</v>
      </c>
      <c r="S77" s="55">
        <f t="shared" si="14"/>
        <v>0</v>
      </c>
      <c r="T77" s="56">
        <f t="shared" si="15"/>
        <v>0</v>
      </c>
      <c r="U77" s="57">
        <f t="shared" si="9"/>
        <v>0</v>
      </c>
      <c r="V77" s="57">
        <f t="shared" si="16"/>
        <v>0</v>
      </c>
      <c r="W77" s="58">
        <f t="shared" si="17"/>
        <v>0</v>
      </c>
      <c r="AA77" s="67"/>
    </row>
    <row r="78" spans="1:27" ht="38.15" customHeight="1" x14ac:dyDescent="0.85">
      <c r="A78" s="77"/>
      <c r="B78" s="78"/>
      <c r="C78" s="70" t="s">
        <v>147</v>
      </c>
      <c r="D78" s="79"/>
      <c r="E78" s="80" t="s">
        <v>94</v>
      </c>
      <c r="F78" s="73"/>
      <c r="G78" s="73"/>
      <c r="H78" s="73"/>
      <c r="I78" s="73"/>
      <c r="J78" s="81"/>
      <c r="K78" s="82"/>
      <c r="L78" s="76"/>
      <c r="M78" s="10" t="str">
        <f t="shared" si="10"/>
        <v/>
      </c>
      <c r="N78" s="10">
        <f t="shared" si="11"/>
        <v>0</v>
      </c>
      <c r="O78" s="54"/>
      <c r="R78" s="55">
        <f t="shared" si="12"/>
        <v>0</v>
      </c>
      <c r="S78" s="55">
        <f t="shared" si="14"/>
        <v>0</v>
      </c>
      <c r="T78" s="56">
        <f t="shared" si="15"/>
        <v>0</v>
      </c>
      <c r="U78" s="57">
        <f t="shared" si="9"/>
        <v>0</v>
      </c>
      <c r="V78" s="57">
        <f t="shared" si="16"/>
        <v>0</v>
      </c>
      <c r="W78" s="58">
        <f t="shared" si="17"/>
        <v>0</v>
      </c>
      <c r="AA78" s="67"/>
    </row>
    <row r="79" spans="1:27" ht="38.15" customHeight="1" x14ac:dyDescent="0.85">
      <c r="A79" s="46">
        <v>190</v>
      </c>
      <c r="B79" s="47">
        <v>76</v>
      </c>
      <c r="C79" s="48" t="s">
        <v>148</v>
      </c>
      <c r="D79" s="49" t="s">
        <v>149</v>
      </c>
      <c r="E79" s="50"/>
      <c r="F79" s="51">
        <v>189</v>
      </c>
      <c r="G79" s="51">
        <v>190</v>
      </c>
      <c r="H79" s="51">
        <v>190</v>
      </c>
      <c r="I79" s="51">
        <v>181.5</v>
      </c>
      <c r="J79" s="51">
        <v>186.75</v>
      </c>
      <c r="K79" s="51">
        <v>181.5</v>
      </c>
      <c r="L79" s="52">
        <v>1575</v>
      </c>
      <c r="M79" s="10">
        <f t="shared" si="10"/>
        <v>186.75</v>
      </c>
      <c r="N79" s="10">
        <f t="shared" si="11"/>
        <v>181.5</v>
      </c>
      <c r="O79" s="54">
        <f t="shared" si="13"/>
        <v>186.75</v>
      </c>
      <c r="R79" s="55">
        <f t="shared" si="12"/>
        <v>190</v>
      </c>
      <c r="S79" s="55">
        <f t="shared" si="14"/>
        <v>190</v>
      </c>
      <c r="T79" s="56">
        <f t="shared" si="15"/>
        <v>0</v>
      </c>
      <c r="U79" s="57">
        <f t="shared" si="9"/>
        <v>76</v>
      </c>
      <c r="V79" s="57">
        <f t="shared" si="16"/>
        <v>181.5</v>
      </c>
      <c r="W79" s="58">
        <f t="shared" si="17"/>
        <v>-105.5</v>
      </c>
      <c r="AA79" s="67"/>
    </row>
    <row r="80" spans="1:27" ht="38.15" customHeight="1" x14ac:dyDescent="0.85">
      <c r="A80" s="46">
        <v>629</v>
      </c>
      <c r="B80" s="47">
        <v>345</v>
      </c>
      <c r="C80" s="48" t="s">
        <v>150</v>
      </c>
      <c r="D80" s="49" t="s">
        <v>151</v>
      </c>
      <c r="E80" s="50" t="s">
        <v>39</v>
      </c>
      <c r="F80" s="51">
        <v>555</v>
      </c>
      <c r="G80" s="51">
        <v>556</v>
      </c>
      <c r="H80" s="51">
        <v>565</v>
      </c>
      <c r="I80" s="51">
        <v>554</v>
      </c>
      <c r="J80" s="51">
        <v>557</v>
      </c>
      <c r="K80" s="51">
        <v>560</v>
      </c>
      <c r="L80" s="52">
        <v>95729</v>
      </c>
      <c r="M80" s="10">
        <f t="shared" si="10"/>
        <v>557</v>
      </c>
      <c r="N80" s="10">
        <f t="shared" si="11"/>
        <v>560</v>
      </c>
      <c r="O80" s="54">
        <f t="shared" si="13"/>
        <v>557</v>
      </c>
      <c r="R80" s="55">
        <f t="shared" si="12"/>
        <v>629</v>
      </c>
      <c r="S80" s="55">
        <f t="shared" si="14"/>
        <v>565</v>
      </c>
      <c r="T80" s="56">
        <f t="shared" si="15"/>
        <v>64</v>
      </c>
      <c r="U80" s="57">
        <f t="shared" si="9"/>
        <v>345</v>
      </c>
      <c r="V80" s="57">
        <f t="shared" si="16"/>
        <v>554</v>
      </c>
      <c r="W80" s="58">
        <f t="shared" si="17"/>
        <v>-209</v>
      </c>
      <c r="AA80" s="67"/>
    </row>
    <row r="81" spans="1:27" ht="38.15" customHeight="1" x14ac:dyDescent="0.85">
      <c r="A81" s="46">
        <v>43.55</v>
      </c>
      <c r="B81" s="47">
        <v>18</v>
      </c>
      <c r="C81" s="48" t="s">
        <v>152</v>
      </c>
      <c r="D81" s="49" t="s">
        <v>153</v>
      </c>
      <c r="E81" s="50"/>
      <c r="F81" s="51">
        <v>43.55</v>
      </c>
      <c r="G81" s="51"/>
      <c r="H81" s="51">
        <v>43.55</v>
      </c>
      <c r="I81" s="51">
        <v>39</v>
      </c>
      <c r="J81" s="51">
        <v>40.5</v>
      </c>
      <c r="K81" s="51">
        <v>39.6</v>
      </c>
      <c r="L81" s="52">
        <v>20963</v>
      </c>
      <c r="M81" s="10">
        <f t="shared" si="10"/>
        <v>40.5</v>
      </c>
      <c r="N81" s="10">
        <f t="shared" si="11"/>
        <v>39.6</v>
      </c>
      <c r="O81" s="54">
        <f t="shared" si="13"/>
        <v>40.5</v>
      </c>
      <c r="R81" s="55">
        <f t="shared" si="12"/>
        <v>43.55</v>
      </c>
      <c r="S81" s="55">
        <f t="shared" si="14"/>
        <v>43.55</v>
      </c>
      <c r="T81" s="56">
        <f t="shared" si="15"/>
        <v>0</v>
      </c>
      <c r="U81" s="57">
        <f t="shared" si="9"/>
        <v>18</v>
      </c>
      <c r="V81" s="57">
        <f t="shared" si="16"/>
        <v>39</v>
      </c>
      <c r="W81" s="58">
        <f t="shared" si="17"/>
        <v>-21</v>
      </c>
      <c r="AA81" s="67"/>
    </row>
    <row r="82" spans="1:27" ht="38.15" customHeight="1" x14ac:dyDescent="0.85">
      <c r="A82" s="46">
        <v>351</v>
      </c>
      <c r="B82" s="47">
        <v>167</v>
      </c>
      <c r="C82" s="48" t="s">
        <v>154</v>
      </c>
      <c r="D82" s="49" t="s">
        <v>155</v>
      </c>
      <c r="E82" s="50" t="s">
        <v>39</v>
      </c>
      <c r="F82" s="51">
        <v>279.75</v>
      </c>
      <c r="G82" s="51">
        <v>280</v>
      </c>
      <c r="H82" s="51">
        <v>284</v>
      </c>
      <c r="I82" s="51">
        <v>270</v>
      </c>
      <c r="J82" s="51">
        <v>273.25</v>
      </c>
      <c r="K82" s="51">
        <v>274.25</v>
      </c>
      <c r="L82" s="52">
        <v>16948</v>
      </c>
      <c r="M82" s="10">
        <f t="shared" si="10"/>
        <v>273.25</v>
      </c>
      <c r="N82" s="10">
        <f t="shared" si="11"/>
        <v>274.25</v>
      </c>
      <c r="O82" s="54">
        <f t="shared" si="13"/>
        <v>273.25</v>
      </c>
      <c r="R82" s="55">
        <f t="shared" si="12"/>
        <v>351</v>
      </c>
      <c r="S82" s="55">
        <f t="shared" si="14"/>
        <v>284</v>
      </c>
      <c r="T82" s="56">
        <f t="shared" si="15"/>
        <v>67</v>
      </c>
      <c r="U82" s="57">
        <f t="shared" si="9"/>
        <v>167</v>
      </c>
      <c r="V82" s="57">
        <f t="shared" si="16"/>
        <v>270</v>
      </c>
      <c r="W82" s="58">
        <f t="shared" si="17"/>
        <v>-103</v>
      </c>
      <c r="AA82" s="67"/>
    </row>
    <row r="83" spans="1:27" ht="38.15" customHeight="1" x14ac:dyDescent="0.85">
      <c r="A83" s="46">
        <v>3.11</v>
      </c>
      <c r="B83" s="47">
        <v>0.9</v>
      </c>
      <c r="C83" s="85" t="s">
        <v>156</v>
      </c>
      <c r="D83" s="49" t="s">
        <v>157</v>
      </c>
      <c r="E83" s="50"/>
      <c r="F83" s="51">
        <v>2.08</v>
      </c>
      <c r="G83" s="51">
        <v>2.2000000000000002</v>
      </c>
      <c r="H83" s="51">
        <v>2.2000000000000002</v>
      </c>
      <c r="I83" s="51">
        <v>2.0699999999999998</v>
      </c>
      <c r="J83" s="51">
        <v>2.12</v>
      </c>
      <c r="K83" s="51">
        <v>2.2000000000000002</v>
      </c>
      <c r="L83" s="52">
        <v>91897</v>
      </c>
      <c r="M83" s="10">
        <f t="shared" si="10"/>
        <v>2.12</v>
      </c>
      <c r="N83" s="10">
        <f t="shared" si="11"/>
        <v>2.2000000000000002</v>
      </c>
      <c r="O83" s="54">
        <f t="shared" si="13"/>
        <v>2.12</v>
      </c>
      <c r="R83" s="55">
        <f t="shared" si="12"/>
        <v>3.11</v>
      </c>
      <c r="S83" s="55">
        <f t="shared" si="14"/>
        <v>2.2000000000000002</v>
      </c>
      <c r="T83" s="56">
        <f t="shared" si="15"/>
        <v>0.9099999999999997</v>
      </c>
      <c r="U83" s="57">
        <f t="shared" si="9"/>
        <v>0.9</v>
      </c>
      <c r="V83" s="57">
        <f t="shared" si="16"/>
        <v>2.0699999999999998</v>
      </c>
      <c r="W83" s="58">
        <f t="shared" si="17"/>
        <v>-1.17</v>
      </c>
      <c r="AA83" s="67"/>
    </row>
    <row r="84" spans="1:27" ht="38.15" customHeight="1" x14ac:dyDescent="0.85">
      <c r="A84" s="46">
        <v>140</v>
      </c>
      <c r="B84" s="47">
        <v>10.4</v>
      </c>
      <c r="C84" s="48" t="s">
        <v>158</v>
      </c>
      <c r="D84" s="49" t="s">
        <v>159</v>
      </c>
      <c r="E84" s="50"/>
      <c r="F84" s="51">
        <v>122</v>
      </c>
      <c r="G84" s="51">
        <v>122.5</v>
      </c>
      <c r="H84" s="51">
        <v>140</v>
      </c>
      <c r="I84" s="51">
        <v>122.5</v>
      </c>
      <c r="J84" s="51">
        <v>124.5</v>
      </c>
      <c r="K84" s="47">
        <v>129.25</v>
      </c>
      <c r="L84" s="52">
        <v>551</v>
      </c>
      <c r="M84" s="10">
        <f t="shared" si="10"/>
        <v>124.5</v>
      </c>
      <c r="N84" s="10">
        <f t="shared" si="11"/>
        <v>129.25</v>
      </c>
      <c r="O84" s="54">
        <f t="shared" si="13"/>
        <v>124.5</v>
      </c>
      <c r="R84" s="55">
        <f t="shared" si="12"/>
        <v>140</v>
      </c>
      <c r="S84" s="55">
        <f t="shared" si="14"/>
        <v>140</v>
      </c>
      <c r="T84" s="56">
        <f t="shared" si="15"/>
        <v>0</v>
      </c>
      <c r="U84" s="57">
        <f t="shared" si="9"/>
        <v>10.4</v>
      </c>
      <c r="V84" s="57">
        <f t="shared" si="16"/>
        <v>122.5</v>
      </c>
      <c r="W84" s="58">
        <f t="shared" si="17"/>
        <v>-112.1</v>
      </c>
      <c r="Z84" s="65">
        <f>SUM(L79:L86)</f>
        <v>232224</v>
      </c>
      <c r="AA84" s="67" t="e">
        <f>Z84/$K$109</f>
        <v>#VALUE!</v>
      </c>
    </row>
    <row r="85" spans="1:27" ht="38.15" customHeight="1" x14ac:dyDescent="0.85">
      <c r="A85" s="46">
        <v>0.27</v>
      </c>
      <c r="B85" s="47">
        <v>0.27</v>
      </c>
      <c r="C85" s="48" t="s">
        <v>160</v>
      </c>
      <c r="D85" s="49" t="s">
        <v>161</v>
      </c>
      <c r="E85" s="50" t="s">
        <v>68</v>
      </c>
      <c r="F85" s="51"/>
      <c r="G85" s="51"/>
      <c r="H85" s="51"/>
      <c r="I85" s="51"/>
      <c r="J85" s="51"/>
      <c r="K85" s="47">
        <v>0.27</v>
      </c>
      <c r="L85" s="52"/>
      <c r="M85" s="10" t="str">
        <f t="shared" si="10"/>
        <v/>
      </c>
      <c r="N85" s="10">
        <f t="shared" si="11"/>
        <v>0.27</v>
      </c>
      <c r="O85" s="54">
        <f t="shared" si="13"/>
        <v>0.27</v>
      </c>
      <c r="R85" s="86">
        <f t="shared" si="12"/>
        <v>0.27</v>
      </c>
      <c r="S85" s="86">
        <f t="shared" si="14"/>
        <v>0</v>
      </c>
      <c r="T85" s="87">
        <f t="shared" si="15"/>
        <v>0.27</v>
      </c>
      <c r="U85" s="88">
        <f t="shared" si="9"/>
        <v>0.27</v>
      </c>
      <c r="V85" s="88">
        <f t="shared" si="16"/>
        <v>0</v>
      </c>
      <c r="W85" s="89">
        <f t="shared" si="17"/>
        <v>0.27</v>
      </c>
      <c r="AA85" s="67"/>
    </row>
    <row r="86" spans="1:27" ht="38.15" customHeight="1" x14ac:dyDescent="0.85">
      <c r="A86" s="46">
        <v>36.15</v>
      </c>
      <c r="B86" s="47">
        <v>18.05</v>
      </c>
      <c r="C86" s="48" t="s">
        <v>162</v>
      </c>
      <c r="D86" s="49" t="s">
        <v>163</v>
      </c>
      <c r="E86" s="50"/>
      <c r="F86" s="51">
        <v>33.9</v>
      </c>
      <c r="G86" s="51">
        <v>34.4</v>
      </c>
      <c r="H86" s="51">
        <v>34.450000000000003</v>
      </c>
      <c r="I86" s="51">
        <v>33</v>
      </c>
      <c r="J86" s="51">
        <v>33.700000000000003</v>
      </c>
      <c r="K86" s="51">
        <v>33.9</v>
      </c>
      <c r="L86" s="52">
        <v>4561</v>
      </c>
      <c r="M86" s="10">
        <f t="shared" si="10"/>
        <v>33.700000000000003</v>
      </c>
      <c r="N86" s="10">
        <f t="shared" si="11"/>
        <v>33.9</v>
      </c>
      <c r="O86" s="54">
        <f t="shared" si="13"/>
        <v>33.700000000000003</v>
      </c>
      <c r="R86" s="55">
        <f t="shared" si="12"/>
        <v>36.15</v>
      </c>
      <c r="S86" s="55">
        <f t="shared" si="14"/>
        <v>34.450000000000003</v>
      </c>
      <c r="T86" s="56">
        <f t="shared" si="15"/>
        <v>1.6999999999999957</v>
      </c>
      <c r="U86" s="57">
        <f t="shared" si="9"/>
        <v>18.05</v>
      </c>
      <c r="V86" s="57">
        <f t="shared" si="16"/>
        <v>33</v>
      </c>
      <c r="W86" s="58">
        <f t="shared" si="17"/>
        <v>-14.95</v>
      </c>
      <c r="AA86" s="67"/>
    </row>
    <row r="87" spans="1:27" ht="38.15" customHeight="1" x14ac:dyDescent="0.85">
      <c r="A87" s="46">
        <v>15.4</v>
      </c>
      <c r="B87" s="59">
        <v>5.8</v>
      </c>
      <c r="C87" s="48" t="s">
        <v>164</v>
      </c>
      <c r="D87" s="49" t="s">
        <v>165</v>
      </c>
      <c r="E87" s="50"/>
      <c r="F87" s="51">
        <v>14.25</v>
      </c>
      <c r="G87" s="51">
        <v>15</v>
      </c>
      <c r="H87" s="51">
        <v>15.2</v>
      </c>
      <c r="I87" s="51">
        <v>13.8</v>
      </c>
      <c r="J87" s="51">
        <v>14.600000000000001</v>
      </c>
      <c r="K87" s="47">
        <v>13.850000000000001</v>
      </c>
      <c r="L87" s="52">
        <v>5053</v>
      </c>
      <c r="M87" s="10">
        <f t="shared" si="10"/>
        <v>14.600000000000001</v>
      </c>
      <c r="N87" s="10">
        <f t="shared" si="11"/>
        <v>13.850000000000001</v>
      </c>
      <c r="O87" s="54">
        <f t="shared" si="13"/>
        <v>14.600000000000001</v>
      </c>
      <c r="R87" s="55">
        <f t="shared" si="12"/>
        <v>15.4</v>
      </c>
      <c r="S87" s="55">
        <f t="shared" si="14"/>
        <v>15.2</v>
      </c>
      <c r="T87" s="56">
        <f t="shared" si="15"/>
        <v>0.20000000000000107</v>
      </c>
      <c r="U87" s="57">
        <f t="shared" si="9"/>
        <v>5.8</v>
      </c>
      <c r="V87" s="57">
        <f t="shared" si="16"/>
        <v>13.8</v>
      </c>
      <c r="W87" s="58">
        <f t="shared" si="17"/>
        <v>-8</v>
      </c>
      <c r="Z87" s="65">
        <f>SUM(L90)</f>
        <v>5682849</v>
      </c>
      <c r="AA87" s="67" t="e">
        <f>Z87/$K$109</f>
        <v>#VALUE!</v>
      </c>
    </row>
    <row r="88" spans="1:27" ht="38.15" customHeight="1" x14ac:dyDescent="0.85">
      <c r="A88" s="46"/>
      <c r="B88" s="59"/>
      <c r="C88" s="48"/>
      <c r="D88" s="49"/>
      <c r="E88" s="50"/>
      <c r="F88" s="51"/>
      <c r="G88" s="51"/>
      <c r="H88" s="51"/>
      <c r="I88" s="51"/>
      <c r="J88" s="51"/>
      <c r="K88" s="47"/>
      <c r="L88" s="52"/>
      <c r="O88" s="54"/>
      <c r="R88" s="55"/>
      <c r="S88" s="55"/>
      <c r="T88" s="56"/>
      <c r="U88" s="57"/>
      <c r="V88" s="57"/>
      <c r="W88" s="58"/>
      <c r="Z88" s="65"/>
      <c r="AA88" s="67"/>
    </row>
    <row r="89" spans="1:27" ht="38.15" customHeight="1" x14ac:dyDescent="0.85">
      <c r="A89" s="77"/>
      <c r="B89" s="78"/>
      <c r="C89" s="70" t="s">
        <v>166</v>
      </c>
      <c r="D89" s="79"/>
      <c r="E89" s="80"/>
      <c r="F89" s="73"/>
      <c r="G89" s="73"/>
      <c r="H89" s="73"/>
      <c r="I89" s="73"/>
      <c r="J89" s="81"/>
      <c r="K89" s="82"/>
      <c r="L89" s="76"/>
      <c r="M89" s="10" t="str">
        <f t="shared" si="10"/>
        <v/>
      </c>
      <c r="N89" s="10">
        <f t="shared" si="11"/>
        <v>0</v>
      </c>
      <c r="O89" s="54"/>
      <c r="R89" s="55">
        <f t="shared" ref="R89:R99" si="18">A89</f>
        <v>0</v>
      </c>
      <c r="S89" s="55">
        <f t="shared" si="14"/>
        <v>0</v>
      </c>
      <c r="T89" s="56">
        <f t="shared" si="15"/>
        <v>0</v>
      </c>
      <c r="U89" s="57">
        <f t="shared" ref="U89:U99" si="19">B89</f>
        <v>0</v>
      </c>
      <c r="V89" s="57">
        <f t="shared" si="16"/>
        <v>0</v>
      </c>
      <c r="W89" s="58">
        <f t="shared" si="17"/>
        <v>0</v>
      </c>
      <c r="Z89" s="65"/>
      <c r="AA89" s="67"/>
    </row>
    <row r="90" spans="1:27" ht="38.15" customHeight="1" x14ac:dyDescent="0.85">
      <c r="A90" s="46">
        <v>37.299999999999997</v>
      </c>
      <c r="B90" s="59">
        <v>17</v>
      </c>
      <c r="C90" s="85" t="s">
        <v>167</v>
      </c>
      <c r="D90" s="49" t="s">
        <v>168</v>
      </c>
      <c r="E90" s="50" t="s">
        <v>29</v>
      </c>
      <c r="F90" s="51">
        <v>36.1</v>
      </c>
      <c r="G90" s="51">
        <v>36.200000000000003</v>
      </c>
      <c r="H90" s="51">
        <v>36.200000000000003</v>
      </c>
      <c r="I90" s="51">
        <v>35.549999999999997</v>
      </c>
      <c r="J90" s="51">
        <v>36</v>
      </c>
      <c r="K90" s="51">
        <v>35.85</v>
      </c>
      <c r="L90" s="52">
        <v>5682849</v>
      </c>
      <c r="M90" s="10">
        <f t="shared" si="10"/>
        <v>36</v>
      </c>
      <c r="N90" s="10">
        <f t="shared" si="11"/>
        <v>35.85</v>
      </c>
      <c r="O90" s="54">
        <f t="shared" si="13"/>
        <v>36</v>
      </c>
      <c r="R90" s="55">
        <f t="shared" si="18"/>
        <v>37.299999999999997</v>
      </c>
      <c r="S90" s="55">
        <f t="shared" si="14"/>
        <v>36.200000000000003</v>
      </c>
      <c r="T90" s="56">
        <f t="shared" si="15"/>
        <v>1.0999999999999943</v>
      </c>
      <c r="U90" s="57">
        <f t="shared" si="19"/>
        <v>17</v>
      </c>
      <c r="V90" s="57">
        <f t="shared" si="16"/>
        <v>35.549999999999997</v>
      </c>
      <c r="W90" s="58">
        <f t="shared" si="17"/>
        <v>-18.549999999999997</v>
      </c>
      <c r="Z90" s="65"/>
      <c r="AA90" s="67"/>
    </row>
    <row r="91" spans="1:27" ht="38.15" customHeight="1" x14ac:dyDescent="0.85">
      <c r="A91" s="46"/>
      <c r="B91" s="59"/>
      <c r="C91" s="85"/>
      <c r="D91" s="49"/>
      <c r="E91" s="50"/>
      <c r="F91" s="51"/>
      <c r="G91" s="51"/>
      <c r="H91" s="51"/>
      <c r="I91" s="51"/>
      <c r="J91" s="51"/>
      <c r="K91" s="51"/>
      <c r="L91" s="52"/>
      <c r="M91" s="10" t="str">
        <f t="shared" si="10"/>
        <v/>
      </c>
      <c r="N91" s="10">
        <f t="shared" si="11"/>
        <v>0</v>
      </c>
      <c r="O91" s="54"/>
      <c r="R91" s="55">
        <f t="shared" si="18"/>
        <v>0</v>
      </c>
      <c r="S91" s="55">
        <f t="shared" si="14"/>
        <v>0</v>
      </c>
      <c r="T91" s="56">
        <f t="shared" si="15"/>
        <v>0</v>
      </c>
      <c r="U91" s="57">
        <f t="shared" si="19"/>
        <v>0</v>
      </c>
      <c r="V91" s="57">
        <f t="shared" si="16"/>
        <v>0</v>
      </c>
      <c r="W91" s="58">
        <f t="shared" si="17"/>
        <v>0</v>
      </c>
      <c r="Z91" s="65" t="e">
        <f>SUM(#REF!)</f>
        <v>#REF!</v>
      </c>
      <c r="AA91" s="67" t="e">
        <f>Z91/$K$109</f>
        <v>#REF!</v>
      </c>
    </row>
    <row r="92" spans="1:27" ht="42" customHeight="1" x14ac:dyDescent="0.85">
      <c r="A92" s="77"/>
      <c r="B92" s="78"/>
      <c r="C92" s="70" t="s">
        <v>169</v>
      </c>
      <c r="D92" s="79"/>
      <c r="E92" s="80"/>
      <c r="F92" s="73"/>
      <c r="G92" s="73"/>
      <c r="H92" s="73"/>
      <c r="I92" s="73"/>
      <c r="J92" s="81"/>
      <c r="K92" s="99"/>
      <c r="L92" s="76"/>
      <c r="M92" s="10" t="str">
        <f t="shared" si="10"/>
        <v/>
      </c>
      <c r="N92" s="10">
        <f t="shared" si="11"/>
        <v>0</v>
      </c>
      <c r="O92" s="54"/>
      <c r="R92" s="55">
        <f t="shared" si="18"/>
        <v>0</v>
      </c>
      <c r="S92" s="55">
        <f t="shared" si="14"/>
        <v>0</v>
      </c>
      <c r="T92" s="56">
        <f t="shared" si="15"/>
        <v>0</v>
      </c>
      <c r="U92" s="57">
        <f t="shared" si="19"/>
        <v>0</v>
      </c>
      <c r="V92" s="57">
        <f t="shared" si="16"/>
        <v>0</v>
      </c>
      <c r="W92" s="58">
        <f t="shared" si="17"/>
        <v>0</v>
      </c>
      <c r="AA92" s="67"/>
    </row>
    <row r="93" spans="1:27" ht="42" customHeight="1" x14ac:dyDescent="0.85">
      <c r="A93" s="46">
        <v>20</v>
      </c>
      <c r="B93" s="47">
        <v>20</v>
      </c>
      <c r="C93" s="85" t="s">
        <v>170</v>
      </c>
      <c r="D93" s="49" t="s">
        <v>171</v>
      </c>
      <c r="E93" s="50" t="s">
        <v>29</v>
      </c>
      <c r="F93" s="51">
        <v>20</v>
      </c>
      <c r="G93" s="51"/>
      <c r="H93" s="51"/>
      <c r="I93" s="51"/>
      <c r="J93" s="51"/>
      <c r="K93" s="51">
        <v>20</v>
      </c>
      <c r="L93" s="52"/>
      <c r="M93" s="10" t="str">
        <f t="shared" si="10"/>
        <v/>
      </c>
      <c r="N93" s="10">
        <f t="shared" si="11"/>
        <v>20</v>
      </c>
      <c r="O93" s="54">
        <f t="shared" si="13"/>
        <v>20</v>
      </c>
      <c r="R93" s="86">
        <f t="shared" si="18"/>
        <v>20</v>
      </c>
      <c r="S93" s="86">
        <f t="shared" si="14"/>
        <v>0</v>
      </c>
      <c r="T93" s="87">
        <f t="shared" si="15"/>
        <v>20</v>
      </c>
      <c r="U93" s="88">
        <f t="shared" si="19"/>
        <v>20</v>
      </c>
      <c r="V93" s="88">
        <f t="shared" si="16"/>
        <v>0</v>
      </c>
      <c r="W93" s="89">
        <f t="shared" si="17"/>
        <v>20</v>
      </c>
      <c r="AA93" s="67"/>
    </row>
    <row r="94" spans="1:27" ht="42" customHeight="1" x14ac:dyDescent="0.85">
      <c r="A94" s="46">
        <v>1.02</v>
      </c>
      <c r="B94" s="47">
        <v>1</v>
      </c>
      <c r="C94" s="85" t="s">
        <v>172</v>
      </c>
      <c r="D94" s="49" t="s">
        <v>173</v>
      </c>
      <c r="E94" s="50"/>
      <c r="F94" s="51"/>
      <c r="G94" s="51"/>
      <c r="H94" s="51"/>
      <c r="I94" s="51"/>
      <c r="J94" s="51"/>
      <c r="K94" s="51">
        <v>1.02</v>
      </c>
      <c r="L94" s="52"/>
      <c r="M94" s="10" t="str">
        <f t="shared" si="10"/>
        <v/>
      </c>
      <c r="N94" s="10">
        <f t="shared" si="11"/>
        <v>1.02</v>
      </c>
      <c r="O94" s="54">
        <f t="shared" si="13"/>
        <v>1.02</v>
      </c>
      <c r="R94" s="86">
        <f>A94</f>
        <v>1.02</v>
      </c>
      <c r="S94" s="86">
        <f>H94</f>
        <v>0</v>
      </c>
      <c r="T94" s="87">
        <f>R94-S94</f>
        <v>1.02</v>
      </c>
      <c r="U94" s="88">
        <f>B94</f>
        <v>1</v>
      </c>
      <c r="V94" s="88">
        <f>I94</f>
        <v>0</v>
      </c>
      <c r="W94" s="89">
        <f>U94-V94</f>
        <v>1</v>
      </c>
      <c r="AA94" s="67"/>
    </row>
    <row r="95" spans="1:27" ht="42" customHeight="1" x14ac:dyDescent="0.85">
      <c r="A95" s="46">
        <v>1.23</v>
      </c>
      <c r="B95" s="47">
        <v>1.23</v>
      </c>
      <c r="C95" s="85" t="s">
        <v>174</v>
      </c>
      <c r="D95" s="49" t="s">
        <v>175</v>
      </c>
      <c r="E95" s="50"/>
      <c r="F95" s="51">
        <v>0.8</v>
      </c>
      <c r="G95" s="51"/>
      <c r="H95" s="51"/>
      <c r="I95" s="51"/>
      <c r="J95" s="51"/>
      <c r="K95" s="51">
        <v>1.23</v>
      </c>
      <c r="L95" s="52"/>
      <c r="M95" s="10" t="str">
        <f>IF(J95=0,"",J95)</f>
        <v/>
      </c>
      <c r="N95" s="10">
        <f>K95</f>
        <v>1.23</v>
      </c>
      <c r="O95" s="54">
        <f t="shared" si="13"/>
        <v>1.23</v>
      </c>
      <c r="R95" s="86">
        <f>A95</f>
        <v>1.23</v>
      </c>
      <c r="S95" s="86">
        <f>H95</f>
        <v>0</v>
      </c>
      <c r="T95" s="87">
        <f>R95-S95</f>
        <v>1.23</v>
      </c>
      <c r="U95" s="88">
        <f>B95</f>
        <v>1.23</v>
      </c>
      <c r="V95" s="88">
        <f>I95</f>
        <v>0</v>
      </c>
      <c r="W95" s="89">
        <f>U95-V95</f>
        <v>1.23</v>
      </c>
      <c r="AA95" s="67"/>
    </row>
    <row r="96" spans="1:27" ht="42" customHeight="1" x14ac:dyDescent="0.85">
      <c r="A96" s="46"/>
      <c r="B96" s="59"/>
      <c r="C96" s="85"/>
      <c r="D96" s="49"/>
      <c r="E96" s="50"/>
      <c r="F96" s="51"/>
      <c r="G96" s="51"/>
      <c r="H96" s="51"/>
      <c r="I96" s="51"/>
      <c r="J96" s="51"/>
      <c r="K96" s="47"/>
      <c r="L96" s="52"/>
      <c r="M96" s="10" t="str">
        <f>IF(J96=0,"",J96)</f>
        <v/>
      </c>
      <c r="N96" s="10">
        <f>K96</f>
        <v>0</v>
      </c>
      <c r="O96" s="54"/>
      <c r="Q96" s="10" t="s">
        <v>0</v>
      </c>
      <c r="R96" s="100"/>
      <c r="S96" s="100"/>
      <c r="T96" s="56"/>
      <c r="U96" s="101"/>
      <c r="V96" s="101"/>
      <c r="W96" s="56"/>
      <c r="AA96" s="67"/>
    </row>
    <row r="97" spans="1:27" ht="42" customHeight="1" x14ac:dyDescent="0.85">
      <c r="A97" s="77"/>
      <c r="B97" s="78"/>
      <c r="C97" s="70" t="s">
        <v>176</v>
      </c>
      <c r="D97" s="79"/>
      <c r="E97" s="80"/>
      <c r="F97" s="73"/>
      <c r="G97" s="73"/>
      <c r="H97" s="73"/>
      <c r="I97" s="73"/>
      <c r="J97" s="81"/>
      <c r="K97" s="82"/>
      <c r="L97" s="76"/>
      <c r="M97" s="10" t="str">
        <f>IF(J97=0,"",J97)</f>
        <v/>
      </c>
      <c r="N97" s="10">
        <f>K97</f>
        <v>0</v>
      </c>
      <c r="O97" s="54"/>
      <c r="R97" s="100"/>
      <c r="S97" s="100"/>
      <c r="T97" s="56"/>
      <c r="U97" s="101"/>
      <c r="V97" s="101"/>
      <c r="W97" s="56"/>
      <c r="AA97" s="67"/>
    </row>
    <row r="98" spans="1:27" ht="42" customHeight="1" x14ac:dyDescent="0.85">
      <c r="A98" s="46">
        <v>6800</v>
      </c>
      <c r="B98" s="47">
        <v>881</v>
      </c>
      <c r="C98" s="85" t="s">
        <v>177</v>
      </c>
      <c r="D98" s="49" t="s">
        <v>178</v>
      </c>
      <c r="E98" s="50"/>
      <c r="F98" s="51">
        <v>5150</v>
      </c>
      <c r="G98" s="51">
        <v>5225</v>
      </c>
      <c r="H98" s="51">
        <v>5250</v>
      </c>
      <c r="I98" s="51">
        <v>5150</v>
      </c>
      <c r="J98" s="59">
        <v>5155</v>
      </c>
      <c r="K98" s="59">
        <v>5155</v>
      </c>
      <c r="L98" s="52">
        <v>60</v>
      </c>
      <c r="M98" s="10">
        <f>IF(J98=0,"",J98)</f>
        <v>5155</v>
      </c>
      <c r="N98" s="10">
        <f>K98</f>
        <v>5155</v>
      </c>
      <c r="O98" s="54">
        <f t="shared" si="13"/>
        <v>5155</v>
      </c>
      <c r="Q98" s="10" t="s">
        <v>0</v>
      </c>
      <c r="R98" s="100">
        <f t="shared" si="18"/>
        <v>6800</v>
      </c>
      <c r="S98" s="100">
        <f t="shared" si="14"/>
        <v>5250</v>
      </c>
      <c r="T98" s="56">
        <f t="shared" si="15"/>
        <v>1550</v>
      </c>
      <c r="U98" s="101">
        <f t="shared" si="19"/>
        <v>881</v>
      </c>
      <c r="V98" s="101">
        <f t="shared" si="16"/>
        <v>5150</v>
      </c>
      <c r="W98" s="56">
        <f t="shared" si="17"/>
        <v>-4269</v>
      </c>
      <c r="AA98" s="67"/>
    </row>
    <row r="99" spans="1:27" ht="42" customHeight="1" x14ac:dyDescent="0.85">
      <c r="A99" s="85">
        <v>1895</v>
      </c>
      <c r="B99" s="47">
        <v>761</v>
      </c>
      <c r="C99" s="85" t="s">
        <v>179</v>
      </c>
      <c r="D99" s="49" t="s">
        <v>180</v>
      </c>
      <c r="F99" s="51">
        <v>925</v>
      </c>
      <c r="G99" s="51">
        <v>932</v>
      </c>
      <c r="H99" s="51">
        <v>932</v>
      </c>
      <c r="I99" s="51">
        <v>930</v>
      </c>
      <c r="J99" s="59">
        <v>931</v>
      </c>
      <c r="K99" s="59">
        <v>932</v>
      </c>
      <c r="L99" s="52">
        <v>338</v>
      </c>
      <c r="M99" s="10">
        <f>IF(J99=0,"",J99)</f>
        <v>931</v>
      </c>
      <c r="N99" s="10">
        <f>K99</f>
        <v>932</v>
      </c>
      <c r="O99" s="54">
        <f t="shared" si="13"/>
        <v>931</v>
      </c>
      <c r="R99" s="100">
        <f t="shared" si="18"/>
        <v>1895</v>
      </c>
      <c r="S99" s="100">
        <f t="shared" si="14"/>
        <v>932</v>
      </c>
      <c r="T99" s="56">
        <f t="shared" si="15"/>
        <v>963</v>
      </c>
      <c r="U99" s="101">
        <f t="shared" si="19"/>
        <v>761</v>
      </c>
      <c r="V99" s="101">
        <f t="shared" si="16"/>
        <v>930</v>
      </c>
      <c r="W99" s="56">
        <f t="shared" si="17"/>
        <v>-169</v>
      </c>
      <c r="AA99" s="67"/>
    </row>
    <row r="100" spans="1:27" ht="42" customHeight="1" thickBot="1" x14ac:dyDescent="0.9">
      <c r="A100" s="46"/>
      <c r="B100" s="47"/>
      <c r="C100" s="85"/>
      <c r="D100" s="49"/>
      <c r="E100" s="50"/>
      <c r="F100" s="50"/>
      <c r="G100" s="50"/>
      <c r="H100" s="102"/>
      <c r="I100" s="102"/>
      <c r="J100" s="102"/>
      <c r="K100" s="59"/>
      <c r="L100" s="103"/>
      <c r="AA100" s="67"/>
    </row>
    <row r="101" spans="1:27" ht="42" customHeight="1" thickBot="1" x14ac:dyDescent="0.9">
      <c r="A101" s="46"/>
      <c r="B101" s="47"/>
      <c r="C101" s="104" t="s">
        <v>181</v>
      </c>
      <c r="D101" s="49"/>
      <c r="E101" s="50"/>
      <c r="F101" s="50"/>
      <c r="G101" s="50"/>
      <c r="H101" s="102"/>
      <c r="I101" s="102"/>
      <c r="J101" s="102"/>
      <c r="K101" s="105" t="s">
        <v>182</v>
      </c>
      <c r="L101" s="106"/>
      <c r="AA101" s="67"/>
    </row>
    <row r="102" spans="1:27" ht="42" customHeight="1" thickBot="1" x14ac:dyDescent="0.9">
      <c r="A102" s="46"/>
      <c r="B102" s="47"/>
      <c r="C102" s="107" t="s">
        <v>303</v>
      </c>
      <c r="D102" s="49"/>
      <c r="E102" s="50"/>
      <c r="F102" s="50"/>
      <c r="G102" s="50"/>
      <c r="H102" s="47"/>
      <c r="I102" s="47"/>
      <c r="J102" s="47"/>
      <c r="K102" s="108" t="s">
        <v>183</v>
      </c>
      <c r="L102" s="109" t="s">
        <v>184</v>
      </c>
      <c r="O102" s="11" t="s">
        <v>0</v>
      </c>
      <c r="P102" s="10" t="s">
        <v>0</v>
      </c>
      <c r="AA102" s="67"/>
    </row>
    <row r="103" spans="1:27" ht="42" customHeight="1" thickBot="1" x14ac:dyDescent="0.9">
      <c r="A103" s="46"/>
      <c r="B103" s="59"/>
      <c r="C103" s="110" t="s">
        <v>185</v>
      </c>
      <c r="E103" s="49"/>
      <c r="F103" s="49"/>
      <c r="G103" s="49"/>
      <c r="H103" s="49"/>
      <c r="I103" s="49"/>
      <c r="J103" s="47"/>
      <c r="K103" s="111">
        <f>Sheet1!D98/1000000000</f>
        <v>4058.6599898897202</v>
      </c>
      <c r="L103" s="111">
        <v>4047.4831222746011</v>
      </c>
      <c r="O103" s="11" t="s">
        <v>0</v>
      </c>
      <c r="AA103" s="67"/>
    </row>
    <row r="104" spans="1:27" ht="42" customHeight="1" thickBot="1" x14ac:dyDescent="0.9">
      <c r="A104" s="112"/>
      <c r="B104"/>
      <c r="C104" s="107" t="s">
        <v>306</v>
      </c>
      <c r="D104" s="49"/>
      <c r="E104" s="49"/>
      <c r="F104" s="49"/>
      <c r="G104" s="49"/>
      <c r="H104" s="49"/>
      <c r="I104" s="49"/>
      <c r="J104" s="47"/>
      <c r="K104" s="113"/>
      <c r="L104" s="114"/>
      <c r="AA104" s="67"/>
    </row>
    <row r="105" spans="1:27" ht="42" customHeight="1" thickBot="1" x14ac:dyDescent="0.55000000000000004">
      <c r="A105" s="112"/>
      <c r="B105"/>
      <c r="C105" s="110" t="s">
        <v>186</v>
      </c>
      <c r="D105" s="49"/>
      <c r="E105" s="49"/>
      <c r="F105" s="49"/>
      <c r="G105" s="49"/>
      <c r="H105" s="49"/>
      <c r="I105" s="49"/>
      <c r="J105" s="115"/>
      <c r="K105" s="105" t="s">
        <v>187</v>
      </c>
      <c r="L105" s="106"/>
      <c r="M105" s="67"/>
      <c r="N105" s="116"/>
      <c r="AA105" s="67"/>
    </row>
    <row r="106" spans="1:27" ht="42" customHeight="1" thickBot="1" x14ac:dyDescent="0.55000000000000004">
      <c r="A106" s="112"/>
      <c r="B106"/>
      <c r="C106" s="117" t="s">
        <v>307</v>
      </c>
      <c r="D106" s="49"/>
      <c r="E106" s="49"/>
      <c r="F106" s="49"/>
      <c r="G106" s="49"/>
      <c r="H106" s="49"/>
      <c r="I106" s="49"/>
      <c r="J106" s="118"/>
      <c r="K106" s="108" t="s">
        <v>183</v>
      </c>
      <c r="L106" s="119" t="s">
        <v>184</v>
      </c>
      <c r="AA106" s="67"/>
    </row>
    <row r="107" spans="1:27" ht="42" customHeight="1" thickBot="1" x14ac:dyDescent="0.55000000000000004">
      <c r="A107" s="112"/>
      <c r="B107"/>
      <c r="C107" s="110" t="s">
        <v>188</v>
      </c>
      <c r="D107" s="49"/>
      <c r="E107" s="49"/>
      <c r="F107" s="49"/>
      <c r="G107" s="49"/>
      <c r="H107" s="49"/>
      <c r="I107" s="49"/>
      <c r="J107" s="120"/>
      <c r="K107" s="121">
        <f>SUM(L5:L90)</f>
        <v>18357509</v>
      </c>
      <c r="L107" s="121">
        <v>25408582</v>
      </c>
      <c r="M107" s="83"/>
      <c r="AA107" s="67"/>
    </row>
    <row r="108" spans="1:27" ht="42" customHeight="1" thickBot="1" x14ac:dyDescent="0.55000000000000004">
      <c r="A108" s="112"/>
      <c r="B108"/>
      <c r="C108" s="117" t="s">
        <v>305</v>
      </c>
      <c r="D108" s="49"/>
      <c r="E108" s="49"/>
      <c r="F108" s="49"/>
      <c r="G108" s="49"/>
      <c r="H108" s="49"/>
      <c r="I108" s="49"/>
      <c r="J108" s="118"/>
      <c r="K108" s="122"/>
      <c r="L108" s="123"/>
      <c r="AA108" s="67"/>
    </row>
    <row r="109" spans="1:27" ht="42" customHeight="1" thickBot="1" x14ac:dyDescent="0.55000000000000004">
      <c r="A109" s="112"/>
      <c r="B109"/>
      <c r="C109" s="110" t="s">
        <v>189</v>
      </c>
      <c r="D109" s="49"/>
      <c r="E109" s="124"/>
      <c r="F109" s="124"/>
      <c r="G109" s="124"/>
      <c r="H109" s="113"/>
      <c r="I109" s="113"/>
      <c r="J109" s="118"/>
      <c r="K109" s="125" t="s">
        <v>190</v>
      </c>
      <c r="L109" s="126"/>
      <c r="N109" s="10" t="s">
        <v>0</v>
      </c>
      <c r="O109" s="127"/>
      <c r="AA109" s="67"/>
    </row>
    <row r="110" spans="1:27" ht="42" customHeight="1" thickBot="1" x14ac:dyDescent="0.55000000000000004">
      <c r="A110" s="128"/>
      <c r="B110" s="129"/>
      <c r="C110" s="117" t="s">
        <v>304</v>
      </c>
      <c r="D110" s="130"/>
      <c r="E110" s="124"/>
      <c r="F110" s="124"/>
      <c r="G110" s="124"/>
      <c r="H110" s="113"/>
      <c r="I110" s="113"/>
      <c r="J110" s="118"/>
      <c r="K110" s="131" t="s">
        <v>183</v>
      </c>
      <c r="L110" s="132" t="s">
        <v>184</v>
      </c>
      <c r="O110" s="127" t="s">
        <v>0</v>
      </c>
      <c r="AA110" s="67"/>
    </row>
    <row r="111" spans="1:27" ht="42" customHeight="1" thickBot="1" x14ac:dyDescent="0.55000000000000004">
      <c r="A111" s="133"/>
      <c r="B111" s="129"/>
      <c r="C111" s="134"/>
      <c r="D111" s="130"/>
      <c r="E111" s="124"/>
      <c r="F111" s="124"/>
      <c r="G111" s="124"/>
      <c r="H111" s="113"/>
      <c r="I111" s="113"/>
      <c r="J111" s="118"/>
      <c r="K111" s="135">
        <f>647856123.11-K119-K127</f>
        <v>647229035.11000001</v>
      </c>
      <c r="L111" s="135">
        <v>634480650.61000001</v>
      </c>
      <c r="O111" s="127"/>
      <c r="AA111" s="67"/>
    </row>
    <row r="112" spans="1:27" ht="42" customHeight="1" thickBot="1" x14ac:dyDescent="0.55000000000000004">
      <c r="A112" s="128" t="s">
        <v>191</v>
      </c>
      <c r="B112" s="129"/>
      <c r="C112" s="134"/>
      <c r="D112" s="130"/>
      <c r="E112" s="124"/>
      <c r="F112" s="124"/>
      <c r="G112" s="124"/>
      <c r="H112" s="113"/>
      <c r="I112" s="113"/>
      <c r="J112" s="118"/>
      <c r="K112" s="136"/>
      <c r="L112" s="137"/>
      <c r="O112" s="127"/>
      <c r="AA112" s="67"/>
    </row>
    <row r="113" spans="1:27" ht="42" customHeight="1" thickBot="1" x14ac:dyDescent="0.55000000000000004">
      <c r="A113" s="133" t="s">
        <v>192</v>
      </c>
      <c r="B113" s="129"/>
      <c r="C113" s="134"/>
      <c r="D113" s="130"/>
      <c r="E113" s="124"/>
      <c r="F113" s="124"/>
      <c r="G113" s="124"/>
      <c r="H113" s="113"/>
      <c r="I113" s="113"/>
      <c r="J113" s="118"/>
      <c r="K113" s="138" t="s">
        <v>193</v>
      </c>
      <c r="L113" s="126"/>
      <c r="O113" s="127"/>
      <c r="AA113" s="67"/>
    </row>
    <row r="114" spans="1:27" ht="42" customHeight="1" thickBot="1" x14ac:dyDescent="0.55000000000000004">
      <c r="A114" s="133" t="s">
        <v>194</v>
      </c>
      <c r="B114" s="129"/>
      <c r="C114" s="134"/>
      <c r="D114" s="130"/>
      <c r="E114" s="124"/>
      <c r="F114" s="124"/>
      <c r="G114" s="124"/>
      <c r="H114" s="113"/>
      <c r="I114" s="113"/>
      <c r="J114" s="118"/>
      <c r="K114" s="139" t="s">
        <v>183</v>
      </c>
      <c r="L114" s="140" t="s">
        <v>184</v>
      </c>
      <c r="O114" s="127"/>
      <c r="AA114" s="67"/>
    </row>
    <row r="115" spans="1:27" ht="42" customHeight="1" thickBot="1" x14ac:dyDescent="0.55000000000000004">
      <c r="A115" s="133" t="s">
        <v>195</v>
      </c>
      <c r="B115" s="129"/>
      <c r="C115" s="141"/>
      <c r="D115" s="142"/>
      <c r="E115" s="124"/>
      <c r="F115" s="124"/>
      <c r="G115" s="124"/>
      <c r="H115" s="113"/>
      <c r="I115" s="113"/>
      <c r="J115" s="118"/>
      <c r="K115" s="135">
        <f>14276-K123-K131</f>
        <v>14230</v>
      </c>
      <c r="L115" s="143">
        <v>13978</v>
      </c>
      <c r="AA115" s="67"/>
    </row>
    <row r="116" spans="1:27" ht="41.25" customHeight="1" thickBot="1" x14ac:dyDescent="0.55000000000000004">
      <c r="A116" s="133" t="s">
        <v>196</v>
      </c>
      <c r="B116" s="129"/>
      <c r="C116" s="134"/>
      <c r="D116" s="134"/>
      <c r="H116" s="113"/>
      <c r="I116" s="113"/>
      <c r="J116" s="118"/>
      <c r="L116" s="144"/>
      <c r="AA116" s="67"/>
    </row>
    <row r="117" spans="1:27" ht="42" customHeight="1" thickBot="1" x14ac:dyDescent="0.55000000000000004">
      <c r="A117" s="133" t="s">
        <v>197</v>
      </c>
      <c r="B117" s="129"/>
      <c r="D117" s="130"/>
      <c r="H117" s="113"/>
      <c r="I117" s="145"/>
      <c r="J117" s="118"/>
      <c r="K117" s="146" t="s">
        <v>198</v>
      </c>
      <c r="L117" s="147"/>
    </row>
    <row r="118" spans="1:27" ht="42" customHeight="1" thickBot="1" x14ac:dyDescent="0.55000000000000004">
      <c r="A118" s="133" t="s">
        <v>199</v>
      </c>
      <c r="B118" s="129"/>
      <c r="D118" s="130"/>
      <c r="H118" s="113"/>
      <c r="I118" s="145"/>
      <c r="J118" s="118"/>
      <c r="K118" s="139" t="s">
        <v>183</v>
      </c>
      <c r="L118" s="132" t="s">
        <v>184</v>
      </c>
    </row>
    <row r="119" spans="1:27" ht="41.25" customHeight="1" thickBot="1" x14ac:dyDescent="0.55000000000000004">
      <c r="A119" s="133" t="s">
        <v>200</v>
      </c>
      <c r="B119" s="129"/>
      <c r="C119" s="134"/>
      <c r="D119" s="130"/>
      <c r="E119" s="124"/>
      <c r="F119" s="124"/>
      <c r="G119" s="124"/>
      <c r="H119" s="113"/>
      <c r="I119" s="113"/>
      <c r="J119" s="118"/>
      <c r="K119" s="148"/>
      <c r="L119" s="135">
        <v>0</v>
      </c>
      <c r="AA119" s="67"/>
    </row>
    <row r="120" spans="1:27" ht="42" customHeight="1" thickBot="1" x14ac:dyDescent="0.55000000000000004">
      <c r="A120" s="133" t="s">
        <v>201</v>
      </c>
      <c r="B120" s="129"/>
      <c r="C120" s="134"/>
      <c r="D120" s="130"/>
      <c r="E120" s="124"/>
      <c r="F120" s="124"/>
      <c r="G120" s="124"/>
      <c r="I120" s="113"/>
      <c r="J120" s="118"/>
      <c r="K120" s="148"/>
      <c r="L120" s="143"/>
    </row>
    <row r="121" spans="1:27" ht="42" customHeight="1" thickBot="1" x14ac:dyDescent="0.55000000000000004">
      <c r="A121" s="133" t="s">
        <v>202</v>
      </c>
      <c r="B121" s="129"/>
      <c r="C121" s="134"/>
      <c r="D121" s="130"/>
      <c r="E121" s="124"/>
      <c r="F121" s="124"/>
      <c r="G121" s="124"/>
      <c r="H121" s="113"/>
      <c r="I121" s="113"/>
      <c r="J121" s="118"/>
      <c r="K121" s="149" t="s">
        <v>203</v>
      </c>
      <c r="L121" s="150"/>
    </row>
    <row r="122" spans="1:27" ht="42" customHeight="1" thickBot="1" x14ac:dyDescent="0.55000000000000004">
      <c r="A122" s="133" t="s">
        <v>204</v>
      </c>
      <c r="B122" s="129"/>
      <c r="C122" s="134"/>
      <c r="D122" s="130"/>
      <c r="E122" s="124"/>
      <c r="F122" s="124"/>
      <c r="G122" s="124"/>
      <c r="H122" s="113"/>
      <c r="I122" s="113"/>
      <c r="J122" s="118"/>
      <c r="K122" s="151" t="s">
        <v>183</v>
      </c>
      <c r="L122" s="152" t="s">
        <v>184</v>
      </c>
    </row>
    <row r="123" spans="1:27" ht="42" customHeight="1" thickBot="1" x14ac:dyDescent="0.55000000000000004">
      <c r="A123" s="133" t="s">
        <v>205</v>
      </c>
      <c r="B123" s="129"/>
      <c r="H123" s="113"/>
      <c r="I123" s="113"/>
      <c r="J123" s="118"/>
      <c r="K123" s="148"/>
      <c r="L123" s="135">
        <v>0</v>
      </c>
    </row>
    <row r="124" spans="1:27" ht="42" customHeight="1" thickBot="1" x14ac:dyDescent="0.55000000000000004">
      <c r="A124" s="133" t="s">
        <v>206</v>
      </c>
      <c r="C124" s="134"/>
      <c r="D124" s="130"/>
      <c r="E124" s="124"/>
      <c r="F124" s="124"/>
      <c r="G124" s="124"/>
      <c r="H124" s="113"/>
      <c r="I124" s="113"/>
      <c r="J124" s="118"/>
      <c r="K124" s="148"/>
      <c r="L124" s="137"/>
    </row>
    <row r="125" spans="1:27" ht="42" customHeight="1" thickBot="1" x14ac:dyDescent="0.55000000000000004">
      <c r="A125" s="133" t="s">
        <v>302</v>
      </c>
      <c r="B125" s="129"/>
      <c r="C125" s="134"/>
      <c r="D125" s="130"/>
      <c r="E125" s="124"/>
      <c r="F125" s="124"/>
      <c r="G125" s="124"/>
      <c r="H125" s="113"/>
      <c r="I125" s="113"/>
      <c r="J125" s="118"/>
      <c r="K125" s="153" t="s">
        <v>207</v>
      </c>
      <c r="L125" s="154"/>
      <c r="O125" s="11" t="s">
        <v>0</v>
      </c>
    </row>
    <row r="126" spans="1:27" ht="42" customHeight="1" thickBot="1" x14ac:dyDescent="0.55000000000000004">
      <c r="A126" s="133"/>
      <c r="B126" s="129"/>
      <c r="C126" s="134"/>
      <c r="D126" s="130"/>
      <c r="E126" s="124"/>
      <c r="F126" s="124"/>
      <c r="G126" s="124"/>
      <c r="H126" s="113"/>
      <c r="I126" s="113"/>
      <c r="J126" s="118"/>
      <c r="K126" s="151" t="s">
        <v>183</v>
      </c>
      <c r="L126" s="152" t="s">
        <v>184</v>
      </c>
    </row>
    <row r="127" spans="1:27" ht="38.25" customHeight="1" thickBot="1" x14ac:dyDescent="0.55000000000000004">
      <c r="A127" s="133"/>
      <c r="B127" s="129"/>
      <c r="C127" s="134"/>
      <c r="D127" s="130"/>
      <c r="E127" s="124"/>
      <c r="F127" s="124"/>
      <c r="G127" s="124"/>
      <c r="H127" s="113"/>
      <c r="I127" s="113"/>
      <c r="J127" s="118"/>
      <c r="K127" s="148">
        <v>627088</v>
      </c>
      <c r="L127" s="135">
        <v>1149617</v>
      </c>
    </row>
    <row r="128" spans="1:27" ht="39" customHeight="1" thickBot="1" x14ac:dyDescent="0.55000000000000004">
      <c r="A128" s="133"/>
      <c r="B128" s="129"/>
      <c r="C128" s="134"/>
      <c r="D128" s="130"/>
      <c r="E128" s="124"/>
      <c r="F128" s="124"/>
      <c r="G128" s="124"/>
      <c r="H128" s="113"/>
      <c r="I128" s="113"/>
      <c r="J128" s="118"/>
      <c r="K128" s="129"/>
      <c r="L128" s="155"/>
    </row>
    <row r="129" spans="1:256" ht="39" customHeight="1" thickBot="1" x14ac:dyDescent="0.55000000000000004">
      <c r="A129" s="133"/>
      <c r="B129" s="129"/>
      <c r="C129" s="134"/>
      <c r="D129" s="130"/>
      <c r="E129" s="124"/>
      <c r="F129" s="124"/>
      <c r="G129" s="124"/>
      <c r="H129" s="113"/>
      <c r="I129" s="113"/>
      <c r="J129" s="118"/>
      <c r="K129" s="153" t="s">
        <v>208</v>
      </c>
      <c r="L129" s="156"/>
    </row>
    <row r="130" spans="1:256" ht="39" customHeight="1" thickBot="1" x14ac:dyDescent="0.55000000000000004">
      <c r="A130" s="133"/>
      <c r="B130" s="129"/>
      <c r="C130" s="134"/>
      <c r="D130" s="130"/>
      <c r="E130" s="124"/>
      <c r="F130" s="124"/>
      <c r="G130" s="124"/>
      <c r="H130" s="113"/>
      <c r="I130" s="113"/>
      <c r="J130" s="118"/>
      <c r="K130" s="131" t="s">
        <v>183</v>
      </c>
      <c r="L130" s="157" t="s">
        <v>184</v>
      </c>
    </row>
    <row r="131" spans="1:256" s="11" customFormat="1" ht="44.15" customHeight="1" thickBot="1" x14ac:dyDescent="0.55000000000000004">
      <c r="A131" s="133"/>
      <c r="B131" s="129"/>
      <c r="C131" s="134"/>
      <c r="D131" s="130"/>
      <c r="E131" s="124"/>
      <c r="F131" s="124"/>
      <c r="G131" s="124"/>
      <c r="H131" s="113"/>
      <c r="I131" s="113"/>
      <c r="J131" s="10"/>
      <c r="K131" s="148">
        <v>46</v>
      </c>
      <c r="L131" s="135">
        <v>53</v>
      </c>
      <c r="M131" s="10"/>
      <c r="N131" s="10"/>
      <c r="P131" s="10"/>
      <c r="Q131" s="10"/>
      <c r="R131" s="12"/>
      <c r="S131" s="12"/>
      <c r="T131" s="13"/>
      <c r="U131" s="14"/>
      <c r="V131" s="14"/>
      <c r="W131" s="13"/>
      <c r="X131" s="15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  <c r="BU131" s="10"/>
      <c r="BV131" s="10"/>
      <c r="BW131" s="10"/>
      <c r="BX131" s="10"/>
      <c r="BY131" s="10"/>
      <c r="BZ131" s="10"/>
      <c r="CA131" s="10"/>
      <c r="CB131" s="10"/>
      <c r="CC131" s="10"/>
      <c r="CD131" s="10"/>
      <c r="CE131" s="10"/>
      <c r="CF131" s="10"/>
      <c r="CG131" s="10"/>
      <c r="CH131" s="10"/>
      <c r="CI131" s="10"/>
      <c r="CJ131" s="10"/>
      <c r="CK131" s="10"/>
      <c r="CL131" s="10"/>
      <c r="CM131" s="10"/>
      <c r="CN131" s="10"/>
      <c r="CO131" s="10"/>
      <c r="CP131" s="10"/>
      <c r="CQ131" s="10"/>
      <c r="CR131" s="10"/>
      <c r="CS131" s="10"/>
      <c r="CT131" s="10"/>
      <c r="CU131" s="10"/>
      <c r="CV131" s="10"/>
      <c r="CW131" s="10"/>
      <c r="CX131" s="10"/>
      <c r="CY131" s="10"/>
      <c r="CZ131" s="10"/>
      <c r="DA131" s="10"/>
      <c r="DB131" s="10"/>
      <c r="DC131" s="10"/>
      <c r="DD131" s="10"/>
      <c r="DE131" s="10"/>
      <c r="DF131" s="10"/>
      <c r="DG131" s="10"/>
      <c r="DH131" s="10"/>
      <c r="DI131" s="10"/>
      <c r="DJ131" s="10"/>
      <c r="DK131" s="10"/>
      <c r="DL131" s="10"/>
      <c r="DM131" s="10"/>
      <c r="DN131" s="10"/>
      <c r="DO131" s="10"/>
      <c r="DP131" s="10"/>
      <c r="DQ131" s="10"/>
      <c r="DR131" s="10"/>
      <c r="DS131" s="10"/>
      <c r="DT131" s="10"/>
      <c r="DU131" s="10"/>
      <c r="DV131" s="10"/>
      <c r="DW131" s="10"/>
      <c r="DX131" s="10"/>
      <c r="DY131" s="10"/>
      <c r="DZ131" s="10"/>
      <c r="EA131" s="10"/>
      <c r="EB131" s="10"/>
      <c r="EC131" s="10"/>
      <c r="ED131" s="10"/>
      <c r="EE131" s="10"/>
      <c r="EF131" s="10"/>
      <c r="EG131" s="10"/>
      <c r="EH131" s="10"/>
      <c r="EI131" s="10"/>
      <c r="EJ131" s="10"/>
      <c r="EK131" s="10"/>
      <c r="EL131" s="10"/>
      <c r="EM131" s="10"/>
      <c r="EN131" s="10"/>
      <c r="EO131" s="10"/>
      <c r="EP131" s="10"/>
      <c r="EQ131" s="10"/>
      <c r="ER131" s="10"/>
      <c r="ES131" s="10"/>
      <c r="ET131" s="10"/>
      <c r="EU131" s="10"/>
      <c r="EV131" s="10"/>
      <c r="EW131" s="10"/>
      <c r="EX131" s="10"/>
      <c r="EY131" s="10"/>
      <c r="EZ131" s="10"/>
      <c r="FA131" s="10"/>
      <c r="FB131" s="10"/>
      <c r="FC131" s="10"/>
      <c r="FD131" s="10"/>
      <c r="FE131" s="10"/>
      <c r="FF131" s="10"/>
      <c r="FG131" s="10"/>
      <c r="FH131" s="10"/>
      <c r="FI131" s="10"/>
      <c r="FJ131" s="10"/>
      <c r="FK131" s="10"/>
      <c r="FL131" s="10"/>
      <c r="FM131" s="10"/>
      <c r="FN131" s="10"/>
      <c r="FO131" s="10"/>
      <c r="FP131" s="10"/>
      <c r="FQ131" s="10"/>
      <c r="FR131" s="10"/>
      <c r="FS131" s="10"/>
      <c r="FT131" s="10"/>
      <c r="FU131" s="10"/>
      <c r="FV131" s="10"/>
      <c r="FW131" s="10"/>
      <c r="FX131" s="10"/>
      <c r="FY131" s="10"/>
      <c r="FZ131" s="10"/>
      <c r="GA131" s="10"/>
      <c r="GB131" s="10"/>
      <c r="GC131" s="10"/>
      <c r="GD131" s="10"/>
      <c r="GE131" s="10"/>
      <c r="GF131" s="10"/>
      <c r="GG131" s="10"/>
      <c r="GH131" s="10"/>
      <c r="GI131" s="10"/>
      <c r="GJ131" s="10"/>
      <c r="GK131" s="10"/>
      <c r="GL131" s="10"/>
      <c r="GM131" s="10"/>
      <c r="GN131" s="10"/>
      <c r="GO131" s="10"/>
      <c r="GP131" s="10"/>
      <c r="GQ131" s="10"/>
      <c r="GR131" s="10"/>
      <c r="GS131" s="10"/>
      <c r="GT131" s="10"/>
      <c r="GU131" s="10"/>
      <c r="GV131" s="10"/>
      <c r="GW131" s="10"/>
      <c r="GX131" s="10"/>
      <c r="GY131" s="10"/>
      <c r="GZ131" s="10"/>
      <c r="HA131" s="10"/>
      <c r="HB131" s="10"/>
      <c r="HC131" s="10"/>
      <c r="HD131" s="10"/>
      <c r="HE131" s="10"/>
      <c r="HF131" s="10"/>
      <c r="HG131" s="10"/>
      <c r="HH131" s="10"/>
      <c r="HI131" s="10"/>
      <c r="HJ131" s="10"/>
      <c r="HK131" s="10"/>
      <c r="HL131" s="10"/>
      <c r="HM131" s="10"/>
      <c r="HN131" s="10"/>
      <c r="HO131" s="10"/>
      <c r="HP131" s="10"/>
      <c r="HQ131" s="10"/>
      <c r="HR131" s="10"/>
      <c r="HS131" s="10"/>
      <c r="HT131" s="10"/>
      <c r="HU131" s="10"/>
      <c r="HV131" s="10"/>
      <c r="HW131" s="10"/>
      <c r="HX131" s="10"/>
      <c r="HY131" s="10"/>
      <c r="HZ131" s="10"/>
      <c r="IA131" s="10"/>
      <c r="IB131" s="10"/>
      <c r="IC131" s="10"/>
      <c r="ID131" s="10"/>
      <c r="IE131" s="10"/>
      <c r="IF131" s="10"/>
      <c r="IG131" s="10"/>
      <c r="IH131" s="10"/>
      <c r="II131" s="10"/>
      <c r="IJ131" s="10"/>
      <c r="IK131" s="10"/>
      <c r="IL131" s="10"/>
      <c r="IM131" s="10"/>
      <c r="IN131" s="10"/>
      <c r="IO131" s="10"/>
      <c r="IP131" s="10"/>
      <c r="IQ131" s="10"/>
      <c r="IR131" s="10"/>
      <c r="IS131" s="10"/>
      <c r="IT131" s="10"/>
      <c r="IU131" s="10"/>
      <c r="IV131" s="10"/>
    </row>
    <row r="132" spans="1:256" s="11" customFormat="1" ht="44.15" customHeight="1" x14ac:dyDescent="0.5">
      <c r="A132" s="133"/>
      <c r="B132" s="129"/>
      <c r="C132" s="134"/>
      <c r="D132" s="130"/>
      <c r="E132" s="124"/>
      <c r="F132" s="124"/>
      <c r="G132" s="124"/>
      <c r="H132" s="113"/>
      <c r="I132" s="113"/>
      <c r="J132" s="118"/>
      <c r="K132" s="129"/>
      <c r="L132" s="155"/>
      <c r="M132" s="10"/>
      <c r="N132" s="10" t="s">
        <v>0</v>
      </c>
      <c r="P132" s="10"/>
      <c r="Q132" s="10"/>
      <c r="R132" s="12"/>
      <c r="S132" s="12"/>
      <c r="T132" s="13"/>
      <c r="U132" s="14"/>
      <c r="V132" s="14"/>
      <c r="W132" s="13"/>
      <c r="X132" s="15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  <c r="BU132" s="10"/>
      <c r="BV132" s="10"/>
      <c r="BW132" s="10"/>
      <c r="BX132" s="10"/>
      <c r="BY132" s="10"/>
      <c r="BZ132" s="10"/>
      <c r="CA132" s="10"/>
      <c r="CB132" s="10"/>
      <c r="CC132" s="10"/>
      <c r="CD132" s="10"/>
      <c r="CE132" s="10"/>
      <c r="CF132" s="10"/>
      <c r="CG132" s="10"/>
      <c r="CH132" s="10"/>
      <c r="CI132" s="10"/>
      <c r="CJ132" s="10"/>
      <c r="CK132" s="10"/>
      <c r="CL132" s="10"/>
      <c r="CM132" s="10"/>
      <c r="CN132" s="10"/>
      <c r="CO132" s="10"/>
      <c r="CP132" s="10"/>
      <c r="CQ132" s="10"/>
      <c r="CR132" s="10"/>
      <c r="CS132" s="10"/>
      <c r="CT132" s="10"/>
      <c r="CU132" s="10"/>
      <c r="CV132" s="10"/>
      <c r="CW132" s="10"/>
      <c r="CX132" s="10"/>
      <c r="CY132" s="10"/>
      <c r="CZ132" s="10"/>
      <c r="DA132" s="10"/>
      <c r="DB132" s="10"/>
      <c r="DC132" s="10"/>
      <c r="DD132" s="10"/>
      <c r="DE132" s="10"/>
      <c r="DF132" s="10"/>
      <c r="DG132" s="10"/>
      <c r="DH132" s="10"/>
      <c r="DI132" s="10"/>
      <c r="DJ132" s="10"/>
      <c r="DK132" s="10"/>
      <c r="DL132" s="10"/>
      <c r="DM132" s="10"/>
      <c r="DN132" s="10"/>
      <c r="DO132" s="10"/>
      <c r="DP132" s="10"/>
      <c r="DQ132" s="10"/>
      <c r="DR132" s="10"/>
      <c r="DS132" s="10"/>
      <c r="DT132" s="10"/>
      <c r="DU132" s="10"/>
      <c r="DV132" s="10"/>
      <c r="DW132" s="10"/>
      <c r="DX132" s="10"/>
      <c r="DY132" s="10"/>
      <c r="DZ132" s="10"/>
      <c r="EA132" s="10"/>
      <c r="EB132" s="10"/>
      <c r="EC132" s="10"/>
      <c r="ED132" s="10"/>
      <c r="EE132" s="10"/>
      <c r="EF132" s="10"/>
      <c r="EG132" s="10"/>
      <c r="EH132" s="10"/>
      <c r="EI132" s="10"/>
      <c r="EJ132" s="10"/>
      <c r="EK132" s="10"/>
      <c r="EL132" s="10"/>
      <c r="EM132" s="10"/>
      <c r="EN132" s="10"/>
      <c r="EO132" s="10"/>
      <c r="EP132" s="10"/>
      <c r="EQ132" s="10"/>
      <c r="ER132" s="10"/>
      <c r="ES132" s="10"/>
      <c r="ET132" s="10"/>
      <c r="EU132" s="10"/>
      <c r="EV132" s="10"/>
      <c r="EW132" s="10"/>
      <c r="EX132" s="10"/>
      <c r="EY132" s="10"/>
      <c r="EZ132" s="10"/>
      <c r="FA132" s="10"/>
      <c r="FB132" s="10"/>
      <c r="FC132" s="10"/>
      <c r="FD132" s="10"/>
      <c r="FE132" s="10"/>
      <c r="FF132" s="10"/>
      <c r="FG132" s="10"/>
      <c r="FH132" s="10"/>
      <c r="FI132" s="10"/>
      <c r="FJ132" s="10"/>
      <c r="FK132" s="10"/>
      <c r="FL132" s="10"/>
      <c r="FM132" s="10"/>
      <c r="FN132" s="10"/>
      <c r="FO132" s="10"/>
      <c r="FP132" s="10"/>
      <c r="FQ132" s="10"/>
      <c r="FR132" s="10"/>
      <c r="FS132" s="10"/>
      <c r="FT132" s="10"/>
      <c r="FU132" s="10"/>
      <c r="FV132" s="10"/>
      <c r="FW132" s="10"/>
      <c r="FX132" s="10"/>
      <c r="FY132" s="10"/>
      <c r="FZ132" s="10"/>
      <c r="GA132" s="10"/>
      <c r="GB132" s="10"/>
      <c r="GC132" s="10"/>
      <c r="GD132" s="10"/>
      <c r="GE132" s="10"/>
      <c r="GF132" s="10"/>
      <c r="GG132" s="10"/>
      <c r="GH132" s="10"/>
      <c r="GI132" s="10"/>
      <c r="GJ132" s="10"/>
      <c r="GK132" s="10"/>
      <c r="GL132" s="10"/>
      <c r="GM132" s="10"/>
      <c r="GN132" s="10"/>
      <c r="GO132" s="10"/>
      <c r="GP132" s="10"/>
      <c r="GQ132" s="10"/>
      <c r="GR132" s="10"/>
      <c r="GS132" s="10"/>
      <c r="GT132" s="10"/>
      <c r="GU132" s="10"/>
      <c r="GV132" s="10"/>
      <c r="GW132" s="10"/>
      <c r="GX132" s="10"/>
      <c r="GY132" s="10"/>
      <c r="GZ132" s="10"/>
      <c r="HA132" s="10"/>
      <c r="HB132" s="10"/>
      <c r="HC132" s="10"/>
      <c r="HD132" s="10"/>
      <c r="HE132" s="10"/>
      <c r="HF132" s="10"/>
      <c r="HG132" s="10"/>
      <c r="HH132" s="10"/>
      <c r="HI132" s="10"/>
      <c r="HJ132" s="10"/>
      <c r="HK132" s="10"/>
      <c r="HL132" s="10"/>
      <c r="HM132" s="10"/>
      <c r="HN132" s="10"/>
      <c r="HO132" s="10"/>
      <c r="HP132" s="10"/>
      <c r="HQ132" s="10"/>
      <c r="HR132" s="10"/>
      <c r="HS132" s="10"/>
      <c r="HT132" s="10"/>
      <c r="HU132" s="10"/>
      <c r="HV132" s="10"/>
      <c r="HW132" s="10"/>
      <c r="HX132" s="10"/>
      <c r="HY132" s="10"/>
      <c r="HZ132" s="10"/>
      <c r="IA132" s="10"/>
      <c r="IB132" s="10"/>
      <c r="IC132" s="10"/>
      <c r="ID132" s="10"/>
      <c r="IE132" s="10"/>
      <c r="IF132" s="10"/>
      <c r="IG132" s="10"/>
      <c r="IH132" s="10"/>
      <c r="II132" s="10"/>
      <c r="IJ132" s="10"/>
      <c r="IK132" s="10"/>
      <c r="IL132" s="10"/>
      <c r="IM132" s="10"/>
      <c r="IN132" s="10"/>
      <c r="IO132" s="10"/>
      <c r="IP132" s="10"/>
      <c r="IQ132" s="10"/>
      <c r="IR132" s="10"/>
      <c r="IS132" s="10"/>
      <c r="IT132" s="10"/>
      <c r="IU132" s="10"/>
      <c r="IV132" s="10"/>
    </row>
    <row r="133" spans="1:256" s="11" customFormat="1" ht="37.5" customHeight="1" x14ac:dyDescent="0.5">
      <c r="A133" s="133"/>
      <c r="B133" s="129"/>
      <c r="C133" s="134"/>
      <c r="D133" s="130"/>
      <c r="E133" s="124"/>
      <c r="F133" s="124"/>
      <c r="G133" s="124"/>
      <c r="H133" s="113"/>
      <c r="I133" s="113"/>
      <c r="J133" s="118"/>
      <c r="K133" s="129"/>
      <c r="L133" s="155"/>
      <c r="M133" s="10"/>
      <c r="N133" s="10"/>
      <c r="P133" s="10"/>
      <c r="Q133" s="10"/>
      <c r="R133" s="12"/>
      <c r="S133" s="12"/>
      <c r="T133" s="13"/>
      <c r="U133" s="14"/>
      <c r="V133" s="14"/>
      <c r="W133" s="13"/>
      <c r="X133" s="15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  <c r="BU133" s="10"/>
      <c r="BV133" s="10"/>
      <c r="BW133" s="10"/>
      <c r="BX133" s="10"/>
      <c r="BY133" s="10"/>
      <c r="BZ133" s="10"/>
      <c r="CA133" s="10"/>
      <c r="CB133" s="10"/>
      <c r="CC133" s="10"/>
      <c r="CD133" s="10"/>
      <c r="CE133" s="10"/>
      <c r="CF133" s="10"/>
      <c r="CG133" s="10"/>
      <c r="CH133" s="10"/>
      <c r="CI133" s="10"/>
      <c r="CJ133" s="10"/>
      <c r="CK133" s="10"/>
      <c r="CL133" s="10"/>
      <c r="CM133" s="10"/>
      <c r="CN133" s="10"/>
      <c r="CO133" s="10"/>
      <c r="CP133" s="10"/>
      <c r="CQ133" s="10"/>
      <c r="CR133" s="10"/>
      <c r="CS133" s="10"/>
      <c r="CT133" s="10"/>
      <c r="CU133" s="10"/>
      <c r="CV133" s="10"/>
      <c r="CW133" s="10"/>
      <c r="CX133" s="10"/>
      <c r="CY133" s="10"/>
      <c r="CZ133" s="10"/>
      <c r="DA133" s="10"/>
      <c r="DB133" s="10"/>
      <c r="DC133" s="10"/>
      <c r="DD133" s="10"/>
      <c r="DE133" s="10"/>
      <c r="DF133" s="10"/>
      <c r="DG133" s="10"/>
      <c r="DH133" s="10"/>
      <c r="DI133" s="10"/>
      <c r="DJ133" s="10"/>
      <c r="DK133" s="10"/>
      <c r="DL133" s="10"/>
      <c r="DM133" s="10"/>
      <c r="DN133" s="10"/>
      <c r="DO133" s="10"/>
      <c r="DP133" s="10"/>
      <c r="DQ133" s="10"/>
      <c r="DR133" s="10"/>
      <c r="DS133" s="10"/>
      <c r="DT133" s="10"/>
      <c r="DU133" s="10"/>
      <c r="DV133" s="10"/>
      <c r="DW133" s="10"/>
      <c r="DX133" s="10"/>
      <c r="DY133" s="10"/>
      <c r="DZ133" s="10"/>
      <c r="EA133" s="10"/>
      <c r="EB133" s="10"/>
      <c r="EC133" s="10"/>
      <c r="ED133" s="10"/>
      <c r="EE133" s="10"/>
      <c r="EF133" s="10"/>
      <c r="EG133" s="10"/>
      <c r="EH133" s="10"/>
      <c r="EI133" s="10"/>
      <c r="EJ133" s="10"/>
      <c r="EK133" s="10"/>
      <c r="EL133" s="10"/>
      <c r="EM133" s="10"/>
      <c r="EN133" s="10"/>
      <c r="EO133" s="10"/>
      <c r="EP133" s="10"/>
      <c r="EQ133" s="10"/>
      <c r="ER133" s="10"/>
      <c r="ES133" s="10"/>
      <c r="ET133" s="10"/>
      <c r="EU133" s="10"/>
      <c r="EV133" s="10"/>
      <c r="EW133" s="10"/>
      <c r="EX133" s="10"/>
      <c r="EY133" s="10"/>
      <c r="EZ133" s="10"/>
      <c r="FA133" s="10"/>
      <c r="FB133" s="10"/>
      <c r="FC133" s="10"/>
      <c r="FD133" s="10"/>
      <c r="FE133" s="10"/>
      <c r="FF133" s="10"/>
      <c r="FG133" s="10"/>
      <c r="FH133" s="10"/>
      <c r="FI133" s="10"/>
      <c r="FJ133" s="10"/>
      <c r="FK133" s="10"/>
      <c r="FL133" s="10"/>
      <c r="FM133" s="10"/>
      <c r="FN133" s="10"/>
      <c r="FO133" s="10"/>
      <c r="FP133" s="10"/>
      <c r="FQ133" s="10"/>
      <c r="FR133" s="10"/>
      <c r="FS133" s="10"/>
      <c r="FT133" s="10"/>
      <c r="FU133" s="10"/>
      <c r="FV133" s="10"/>
      <c r="FW133" s="10"/>
      <c r="FX133" s="10"/>
      <c r="FY133" s="10"/>
      <c r="FZ133" s="10"/>
      <c r="GA133" s="10"/>
      <c r="GB133" s="10"/>
      <c r="GC133" s="10"/>
      <c r="GD133" s="10"/>
      <c r="GE133" s="10"/>
      <c r="GF133" s="10"/>
      <c r="GG133" s="10"/>
      <c r="GH133" s="10"/>
      <c r="GI133" s="10"/>
      <c r="GJ133" s="10"/>
      <c r="GK133" s="10"/>
      <c r="GL133" s="10"/>
      <c r="GM133" s="10"/>
      <c r="GN133" s="10"/>
      <c r="GO133" s="10"/>
      <c r="GP133" s="10"/>
      <c r="GQ133" s="10"/>
      <c r="GR133" s="10"/>
      <c r="GS133" s="10"/>
      <c r="GT133" s="10"/>
      <c r="GU133" s="10"/>
      <c r="GV133" s="10"/>
      <c r="GW133" s="10"/>
      <c r="GX133" s="10"/>
      <c r="GY133" s="10"/>
      <c r="GZ133" s="10"/>
      <c r="HA133" s="10"/>
      <c r="HB133" s="10"/>
      <c r="HC133" s="10"/>
      <c r="HD133" s="10"/>
      <c r="HE133" s="10"/>
      <c r="HF133" s="10"/>
      <c r="HG133" s="10"/>
      <c r="HH133" s="10"/>
      <c r="HI133" s="10"/>
      <c r="HJ133" s="10"/>
      <c r="HK133" s="10"/>
      <c r="HL133" s="10"/>
      <c r="HM133" s="10"/>
      <c r="HN133" s="10"/>
      <c r="HO133" s="10"/>
      <c r="HP133" s="10"/>
      <c r="HQ133" s="10"/>
      <c r="HR133" s="10"/>
      <c r="HS133" s="10"/>
      <c r="HT133" s="10"/>
      <c r="HU133" s="10"/>
      <c r="HV133" s="10"/>
      <c r="HW133" s="10"/>
      <c r="HX133" s="10"/>
      <c r="HY133" s="10"/>
      <c r="HZ133" s="10"/>
      <c r="IA133" s="10"/>
      <c r="IB133" s="10"/>
      <c r="IC133" s="10"/>
      <c r="ID133" s="10"/>
      <c r="IE133" s="10"/>
      <c r="IF133" s="10"/>
      <c r="IG133" s="10"/>
      <c r="IH133" s="10"/>
      <c r="II133" s="10"/>
      <c r="IJ133" s="10"/>
      <c r="IK133" s="10"/>
      <c r="IL133" s="10"/>
      <c r="IM133" s="10"/>
      <c r="IN133" s="10"/>
      <c r="IO133" s="10"/>
      <c r="IP133" s="10"/>
      <c r="IQ133" s="10"/>
      <c r="IR133" s="10"/>
      <c r="IS133" s="10"/>
      <c r="IT133" s="10"/>
      <c r="IU133" s="10"/>
      <c r="IV133" s="10"/>
    </row>
    <row r="134" spans="1:256" s="11" customFormat="1" ht="37.5" customHeight="1" x14ac:dyDescent="0.5">
      <c r="A134" s="133"/>
      <c r="B134" s="129"/>
      <c r="C134" s="134"/>
      <c r="D134" s="130"/>
      <c r="E134" s="124"/>
      <c r="F134" s="124"/>
      <c r="G134" s="124"/>
      <c r="H134" s="113"/>
      <c r="I134" s="113"/>
      <c r="J134" s="118"/>
      <c r="K134" s="129"/>
      <c r="L134" s="155"/>
      <c r="M134" s="10"/>
      <c r="N134" s="10"/>
      <c r="P134" s="10"/>
      <c r="Q134" s="10"/>
      <c r="R134" s="12"/>
      <c r="S134" s="12"/>
      <c r="T134" s="13"/>
      <c r="U134" s="14"/>
      <c r="V134" s="14"/>
      <c r="W134" s="13"/>
      <c r="X134" s="15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  <c r="BU134" s="10"/>
      <c r="BV134" s="10"/>
      <c r="BW134" s="10"/>
      <c r="BX134" s="10"/>
      <c r="BY134" s="10"/>
      <c r="BZ134" s="10"/>
      <c r="CA134" s="10"/>
      <c r="CB134" s="10"/>
      <c r="CC134" s="10"/>
      <c r="CD134" s="10"/>
      <c r="CE134" s="10"/>
      <c r="CF134" s="10"/>
      <c r="CG134" s="10"/>
      <c r="CH134" s="10"/>
      <c r="CI134" s="10"/>
      <c r="CJ134" s="10"/>
      <c r="CK134" s="10"/>
      <c r="CL134" s="10"/>
      <c r="CM134" s="10"/>
      <c r="CN134" s="10"/>
      <c r="CO134" s="10"/>
      <c r="CP134" s="10"/>
      <c r="CQ134" s="10"/>
      <c r="CR134" s="10"/>
      <c r="CS134" s="10"/>
      <c r="CT134" s="10"/>
      <c r="CU134" s="10"/>
      <c r="CV134" s="10"/>
      <c r="CW134" s="10"/>
      <c r="CX134" s="10"/>
      <c r="CY134" s="10"/>
      <c r="CZ134" s="10"/>
      <c r="DA134" s="10"/>
      <c r="DB134" s="10"/>
      <c r="DC134" s="10"/>
      <c r="DD134" s="10"/>
      <c r="DE134" s="10"/>
      <c r="DF134" s="10"/>
      <c r="DG134" s="10"/>
      <c r="DH134" s="10"/>
      <c r="DI134" s="10"/>
      <c r="DJ134" s="10"/>
      <c r="DK134" s="10"/>
      <c r="DL134" s="10"/>
      <c r="DM134" s="10"/>
      <c r="DN134" s="10"/>
      <c r="DO134" s="10"/>
      <c r="DP134" s="10"/>
      <c r="DQ134" s="10"/>
      <c r="DR134" s="10"/>
      <c r="DS134" s="10"/>
      <c r="DT134" s="10"/>
      <c r="DU134" s="10"/>
      <c r="DV134" s="10"/>
      <c r="DW134" s="10"/>
      <c r="DX134" s="10"/>
      <c r="DY134" s="10"/>
      <c r="DZ134" s="10"/>
      <c r="EA134" s="10"/>
      <c r="EB134" s="10"/>
      <c r="EC134" s="10"/>
      <c r="ED134" s="10"/>
      <c r="EE134" s="10"/>
      <c r="EF134" s="10"/>
      <c r="EG134" s="10"/>
      <c r="EH134" s="10"/>
      <c r="EI134" s="10"/>
      <c r="EJ134" s="10"/>
      <c r="EK134" s="10"/>
      <c r="EL134" s="10"/>
      <c r="EM134" s="10"/>
      <c r="EN134" s="10"/>
      <c r="EO134" s="10"/>
      <c r="EP134" s="10"/>
      <c r="EQ134" s="10"/>
      <c r="ER134" s="10"/>
      <c r="ES134" s="10"/>
      <c r="ET134" s="10"/>
      <c r="EU134" s="10"/>
      <c r="EV134" s="10"/>
      <c r="EW134" s="10"/>
      <c r="EX134" s="10"/>
      <c r="EY134" s="10"/>
      <c r="EZ134" s="10"/>
      <c r="FA134" s="10"/>
      <c r="FB134" s="10"/>
      <c r="FC134" s="10"/>
      <c r="FD134" s="10"/>
      <c r="FE134" s="10"/>
      <c r="FF134" s="10"/>
      <c r="FG134" s="10"/>
      <c r="FH134" s="10"/>
      <c r="FI134" s="10"/>
      <c r="FJ134" s="10"/>
      <c r="FK134" s="10"/>
      <c r="FL134" s="10"/>
      <c r="FM134" s="10"/>
      <c r="FN134" s="10"/>
      <c r="FO134" s="10"/>
      <c r="FP134" s="10"/>
      <c r="FQ134" s="10"/>
      <c r="FR134" s="10"/>
      <c r="FS134" s="10"/>
      <c r="FT134" s="10"/>
      <c r="FU134" s="10"/>
      <c r="FV134" s="10"/>
      <c r="FW134" s="10"/>
      <c r="FX134" s="10"/>
      <c r="FY134" s="10"/>
      <c r="FZ134" s="10"/>
      <c r="GA134" s="10"/>
      <c r="GB134" s="10"/>
      <c r="GC134" s="10"/>
      <c r="GD134" s="10"/>
      <c r="GE134" s="10"/>
      <c r="GF134" s="10"/>
      <c r="GG134" s="10"/>
      <c r="GH134" s="10"/>
      <c r="GI134" s="10"/>
      <c r="GJ134" s="10"/>
      <c r="GK134" s="10"/>
      <c r="GL134" s="10"/>
      <c r="GM134" s="10"/>
      <c r="GN134" s="10"/>
      <c r="GO134" s="10"/>
      <c r="GP134" s="10"/>
      <c r="GQ134" s="10"/>
      <c r="GR134" s="10"/>
      <c r="GS134" s="10"/>
      <c r="GT134" s="10"/>
      <c r="GU134" s="10"/>
      <c r="GV134" s="10"/>
      <c r="GW134" s="10"/>
      <c r="GX134" s="10"/>
      <c r="GY134" s="10"/>
      <c r="GZ134" s="10"/>
      <c r="HA134" s="10"/>
      <c r="HB134" s="10"/>
      <c r="HC134" s="10"/>
      <c r="HD134" s="10"/>
      <c r="HE134" s="10"/>
      <c r="HF134" s="10"/>
      <c r="HG134" s="10"/>
      <c r="HH134" s="10"/>
      <c r="HI134" s="10"/>
      <c r="HJ134" s="10"/>
      <c r="HK134" s="10"/>
      <c r="HL134" s="10"/>
      <c r="HM134" s="10"/>
      <c r="HN134" s="10"/>
      <c r="HO134" s="10"/>
      <c r="HP134" s="10"/>
      <c r="HQ134" s="10"/>
      <c r="HR134" s="10"/>
      <c r="HS134" s="10"/>
      <c r="HT134" s="10"/>
      <c r="HU134" s="10"/>
      <c r="HV134" s="10"/>
      <c r="HW134" s="10"/>
      <c r="HX134" s="10"/>
      <c r="HY134" s="10"/>
      <c r="HZ134" s="10"/>
      <c r="IA134" s="10"/>
      <c r="IB134" s="10"/>
      <c r="IC134" s="10"/>
      <c r="ID134" s="10"/>
      <c r="IE134" s="10"/>
      <c r="IF134" s="10"/>
      <c r="IG134" s="10"/>
      <c r="IH134" s="10"/>
      <c r="II134" s="10"/>
      <c r="IJ134" s="10"/>
      <c r="IK134" s="10"/>
      <c r="IL134" s="10"/>
      <c r="IM134" s="10"/>
      <c r="IN134" s="10"/>
      <c r="IO134" s="10"/>
      <c r="IP134" s="10"/>
      <c r="IQ134" s="10"/>
      <c r="IR134" s="10"/>
      <c r="IS134" s="10"/>
      <c r="IT134" s="10"/>
      <c r="IU134" s="10"/>
      <c r="IV134" s="10"/>
    </row>
    <row r="135" spans="1:256" s="11" customFormat="1" ht="37.5" customHeight="1" x14ac:dyDescent="0.5">
      <c r="A135" s="133"/>
      <c r="B135" s="129"/>
      <c r="C135" s="134"/>
      <c r="D135" s="130"/>
      <c r="E135" s="124"/>
      <c r="F135" s="124"/>
      <c r="G135" s="124"/>
      <c r="H135" s="113"/>
      <c r="I135" s="113"/>
      <c r="J135" s="118"/>
      <c r="K135" s="129"/>
      <c r="L135" s="155"/>
      <c r="M135" s="10"/>
      <c r="N135" s="10"/>
      <c r="P135" s="10"/>
      <c r="Q135" s="10"/>
      <c r="R135" s="12"/>
      <c r="S135" s="12"/>
      <c r="T135" s="13"/>
      <c r="U135" s="14"/>
      <c r="V135" s="14"/>
      <c r="W135" s="13"/>
      <c r="X135" s="15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  <c r="BU135" s="10"/>
      <c r="BV135" s="10"/>
      <c r="BW135" s="10"/>
      <c r="BX135" s="10"/>
      <c r="BY135" s="10"/>
      <c r="BZ135" s="10"/>
      <c r="CA135" s="10"/>
      <c r="CB135" s="10"/>
      <c r="CC135" s="10"/>
      <c r="CD135" s="10"/>
      <c r="CE135" s="10"/>
      <c r="CF135" s="10"/>
      <c r="CG135" s="10"/>
      <c r="CH135" s="10"/>
      <c r="CI135" s="10"/>
      <c r="CJ135" s="10"/>
      <c r="CK135" s="10"/>
      <c r="CL135" s="10"/>
      <c r="CM135" s="10"/>
      <c r="CN135" s="10"/>
      <c r="CO135" s="10"/>
      <c r="CP135" s="10"/>
      <c r="CQ135" s="10"/>
      <c r="CR135" s="10"/>
      <c r="CS135" s="10"/>
      <c r="CT135" s="10"/>
      <c r="CU135" s="10"/>
      <c r="CV135" s="10"/>
      <c r="CW135" s="10"/>
      <c r="CX135" s="10"/>
      <c r="CY135" s="10"/>
      <c r="CZ135" s="10"/>
      <c r="DA135" s="10"/>
      <c r="DB135" s="10"/>
      <c r="DC135" s="10"/>
      <c r="DD135" s="10"/>
      <c r="DE135" s="10"/>
      <c r="DF135" s="10"/>
      <c r="DG135" s="10"/>
      <c r="DH135" s="10"/>
      <c r="DI135" s="10"/>
      <c r="DJ135" s="10"/>
      <c r="DK135" s="10"/>
      <c r="DL135" s="10"/>
      <c r="DM135" s="10"/>
      <c r="DN135" s="10"/>
      <c r="DO135" s="10"/>
      <c r="DP135" s="10"/>
      <c r="DQ135" s="10"/>
      <c r="DR135" s="10"/>
      <c r="DS135" s="10"/>
      <c r="DT135" s="10"/>
      <c r="DU135" s="10"/>
      <c r="DV135" s="10"/>
      <c r="DW135" s="10"/>
      <c r="DX135" s="10"/>
      <c r="DY135" s="10"/>
      <c r="DZ135" s="10"/>
      <c r="EA135" s="10"/>
      <c r="EB135" s="10"/>
      <c r="EC135" s="10"/>
      <c r="ED135" s="10"/>
      <c r="EE135" s="10"/>
      <c r="EF135" s="10"/>
      <c r="EG135" s="10"/>
      <c r="EH135" s="10"/>
      <c r="EI135" s="10"/>
      <c r="EJ135" s="10"/>
      <c r="EK135" s="10"/>
      <c r="EL135" s="10"/>
      <c r="EM135" s="10"/>
      <c r="EN135" s="10"/>
      <c r="EO135" s="10"/>
      <c r="EP135" s="10"/>
      <c r="EQ135" s="10"/>
      <c r="ER135" s="10"/>
      <c r="ES135" s="10"/>
      <c r="ET135" s="10"/>
      <c r="EU135" s="10"/>
      <c r="EV135" s="10"/>
      <c r="EW135" s="10"/>
      <c r="EX135" s="10"/>
      <c r="EY135" s="10"/>
      <c r="EZ135" s="10"/>
      <c r="FA135" s="10"/>
      <c r="FB135" s="10"/>
      <c r="FC135" s="10"/>
      <c r="FD135" s="10"/>
      <c r="FE135" s="10"/>
      <c r="FF135" s="10"/>
      <c r="FG135" s="10"/>
      <c r="FH135" s="10"/>
      <c r="FI135" s="10"/>
      <c r="FJ135" s="10"/>
      <c r="FK135" s="10"/>
      <c r="FL135" s="10"/>
      <c r="FM135" s="10"/>
      <c r="FN135" s="10"/>
      <c r="FO135" s="10"/>
      <c r="FP135" s="10"/>
      <c r="FQ135" s="10"/>
      <c r="FR135" s="10"/>
      <c r="FS135" s="10"/>
      <c r="FT135" s="10"/>
      <c r="FU135" s="10"/>
      <c r="FV135" s="10"/>
      <c r="FW135" s="10"/>
      <c r="FX135" s="10"/>
      <c r="FY135" s="10"/>
      <c r="FZ135" s="10"/>
      <c r="GA135" s="10"/>
      <c r="GB135" s="10"/>
      <c r="GC135" s="10"/>
      <c r="GD135" s="10"/>
      <c r="GE135" s="10"/>
      <c r="GF135" s="10"/>
      <c r="GG135" s="10"/>
      <c r="GH135" s="10"/>
      <c r="GI135" s="10"/>
      <c r="GJ135" s="10"/>
      <c r="GK135" s="10"/>
      <c r="GL135" s="10"/>
      <c r="GM135" s="10"/>
      <c r="GN135" s="10"/>
      <c r="GO135" s="10"/>
      <c r="GP135" s="10"/>
      <c r="GQ135" s="10"/>
      <c r="GR135" s="10"/>
      <c r="GS135" s="10"/>
      <c r="GT135" s="10"/>
      <c r="GU135" s="10"/>
      <c r="GV135" s="10"/>
      <c r="GW135" s="10"/>
      <c r="GX135" s="10"/>
      <c r="GY135" s="10"/>
      <c r="GZ135" s="10"/>
      <c r="HA135" s="10"/>
      <c r="HB135" s="10"/>
      <c r="HC135" s="10"/>
      <c r="HD135" s="10"/>
      <c r="HE135" s="10"/>
      <c r="HF135" s="10"/>
      <c r="HG135" s="10"/>
      <c r="HH135" s="10"/>
      <c r="HI135" s="10"/>
      <c r="HJ135" s="10"/>
      <c r="HK135" s="10"/>
      <c r="HL135" s="10"/>
      <c r="HM135" s="10"/>
      <c r="HN135" s="10"/>
      <c r="HO135" s="10"/>
      <c r="HP135" s="10"/>
      <c r="HQ135" s="10"/>
      <c r="HR135" s="10"/>
      <c r="HS135" s="10"/>
      <c r="HT135" s="10"/>
      <c r="HU135" s="10"/>
      <c r="HV135" s="10"/>
      <c r="HW135" s="10"/>
      <c r="HX135" s="10"/>
      <c r="HY135" s="10"/>
      <c r="HZ135" s="10"/>
      <c r="IA135" s="10"/>
      <c r="IB135" s="10"/>
      <c r="IC135" s="10"/>
      <c r="ID135" s="10"/>
      <c r="IE135" s="10"/>
      <c r="IF135" s="10"/>
      <c r="IG135" s="10"/>
      <c r="IH135" s="10"/>
      <c r="II135" s="10"/>
      <c r="IJ135" s="10"/>
      <c r="IK135" s="10"/>
      <c r="IL135" s="10"/>
      <c r="IM135" s="10"/>
      <c r="IN135" s="10"/>
      <c r="IO135" s="10"/>
      <c r="IP135" s="10"/>
      <c r="IQ135" s="10"/>
      <c r="IR135" s="10"/>
      <c r="IS135" s="10"/>
      <c r="IT135" s="10"/>
      <c r="IU135" s="10"/>
      <c r="IV135" s="10"/>
    </row>
    <row r="136" spans="1:256" s="11" customFormat="1" ht="37.5" customHeight="1" x14ac:dyDescent="0.5">
      <c r="A136" s="133"/>
      <c r="B136" s="129"/>
      <c r="C136" s="134"/>
      <c r="D136" s="130"/>
      <c r="E136" s="124"/>
      <c r="F136" s="124"/>
      <c r="G136" s="124"/>
      <c r="H136" s="113"/>
      <c r="I136" s="113"/>
      <c r="J136" s="118"/>
      <c r="K136" s="129"/>
      <c r="L136" s="155"/>
      <c r="M136" s="10"/>
      <c r="N136" s="10"/>
      <c r="P136" s="10"/>
      <c r="Q136" s="10"/>
      <c r="R136" s="12"/>
      <c r="S136" s="12"/>
      <c r="T136" s="13"/>
      <c r="U136" s="14"/>
      <c r="V136" s="14"/>
      <c r="W136" s="13"/>
      <c r="X136" s="15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  <c r="BU136" s="10"/>
      <c r="BV136" s="10"/>
      <c r="BW136" s="10"/>
      <c r="BX136" s="10"/>
      <c r="BY136" s="10"/>
      <c r="BZ136" s="10"/>
      <c r="CA136" s="10"/>
      <c r="CB136" s="10"/>
      <c r="CC136" s="10"/>
      <c r="CD136" s="10"/>
      <c r="CE136" s="10"/>
      <c r="CF136" s="10"/>
      <c r="CG136" s="10"/>
      <c r="CH136" s="10"/>
      <c r="CI136" s="10"/>
      <c r="CJ136" s="10"/>
      <c r="CK136" s="10"/>
      <c r="CL136" s="10"/>
      <c r="CM136" s="10"/>
      <c r="CN136" s="10"/>
      <c r="CO136" s="10"/>
      <c r="CP136" s="10"/>
      <c r="CQ136" s="10"/>
      <c r="CR136" s="10"/>
      <c r="CS136" s="10"/>
      <c r="CT136" s="10"/>
      <c r="CU136" s="10"/>
      <c r="CV136" s="10"/>
      <c r="CW136" s="10"/>
      <c r="CX136" s="10"/>
      <c r="CY136" s="10"/>
      <c r="CZ136" s="10"/>
      <c r="DA136" s="10"/>
      <c r="DB136" s="10"/>
      <c r="DC136" s="10"/>
      <c r="DD136" s="10"/>
      <c r="DE136" s="10"/>
      <c r="DF136" s="10"/>
      <c r="DG136" s="10"/>
      <c r="DH136" s="10"/>
      <c r="DI136" s="10"/>
      <c r="DJ136" s="10"/>
      <c r="DK136" s="10"/>
      <c r="DL136" s="10"/>
      <c r="DM136" s="10"/>
      <c r="DN136" s="10"/>
      <c r="DO136" s="10"/>
      <c r="DP136" s="10"/>
      <c r="DQ136" s="10"/>
      <c r="DR136" s="10"/>
      <c r="DS136" s="10"/>
      <c r="DT136" s="10"/>
      <c r="DU136" s="10"/>
      <c r="DV136" s="10"/>
      <c r="DW136" s="10"/>
      <c r="DX136" s="10"/>
      <c r="DY136" s="10"/>
      <c r="DZ136" s="10"/>
      <c r="EA136" s="10"/>
      <c r="EB136" s="10"/>
      <c r="EC136" s="10"/>
      <c r="ED136" s="10"/>
      <c r="EE136" s="10"/>
      <c r="EF136" s="10"/>
      <c r="EG136" s="10"/>
      <c r="EH136" s="10"/>
      <c r="EI136" s="10"/>
      <c r="EJ136" s="10"/>
      <c r="EK136" s="10"/>
      <c r="EL136" s="10"/>
      <c r="EM136" s="10"/>
      <c r="EN136" s="10"/>
      <c r="EO136" s="10"/>
      <c r="EP136" s="10"/>
      <c r="EQ136" s="10"/>
      <c r="ER136" s="10"/>
      <c r="ES136" s="10"/>
      <c r="ET136" s="10"/>
      <c r="EU136" s="10"/>
      <c r="EV136" s="10"/>
      <c r="EW136" s="10"/>
      <c r="EX136" s="10"/>
      <c r="EY136" s="10"/>
      <c r="EZ136" s="10"/>
      <c r="FA136" s="10"/>
      <c r="FB136" s="10"/>
      <c r="FC136" s="10"/>
      <c r="FD136" s="10"/>
      <c r="FE136" s="10"/>
      <c r="FF136" s="10"/>
      <c r="FG136" s="10"/>
      <c r="FH136" s="10"/>
      <c r="FI136" s="10"/>
      <c r="FJ136" s="10"/>
      <c r="FK136" s="10"/>
      <c r="FL136" s="10"/>
      <c r="FM136" s="10"/>
      <c r="FN136" s="10"/>
      <c r="FO136" s="10"/>
      <c r="FP136" s="10"/>
      <c r="FQ136" s="10"/>
      <c r="FR136" s="10"/>
      <c r="FS136" s="10"/>
      <c r="FT136" s="10"/>
      <c r="FU136" s="10"/>
      <c r="FV136" s="10"/>
      <c r="FW136" s="10"/>
      <c r="FX136" s="10"/>
      <c r="FY136" s="10"/>
      <c r="FZ136" s="10"/>
      <c r="GA136" s="10"/>
      <c r="GB136" s="10"/>
      <c r="GC136" s="10"/>
      <c r="GD136" s="10"/>
      <c r="GE136" s="10"/>
      <c r="GF136" s="10"/>
      <c r="GG136" s="10"/>
      <c r="GH136" s="10"/>
      <c r="GI136" s="10"/>
      <c r="GJ136" s="10"/>
      <c r="GK136" s="10"/>
      <c r="GL136" s="10"/>
      <c r="GM136" s="10"/>
      <c r="GN136" s="10"/>
      <c r="GO136" s="10"/>
      <c r="GP136" s="10"/>
      <c r="GQ136" s="10"/>
      <c r="GR136" s="10"/>
      <c r="GS136" s="10"/>
      <c r="GT136" s="10"/>
      <c r="GU136" s="10"/>
      <c r="GV136" s="10"/>
      <c r="GW136" s="10"/>
      <c r="GX136" s="10"/>
      <c r="GY136" s="10"/>
      <c r="GZ136" s="10"/>
      <c r="HA136" s="10"/>
      <c r="HB136" s="10"/>
      <c r="HC136" s="10"/>
      <c r="HD136" s="10"/>
      <c r="HE136" s="10"/>
      <c r="HF136" s="10"/>
      <c r="HG136" s="10"/>
      <c r="HH136" s="10"/>
      <c r="HI136" s="10"/>
      <c r="HJ136" s="10"/>
      <c r="HK136" s="10"/>
      <c r="HL136" s="10"/>
      <c r="HM136" s="10"/>
      <c r="HN136" s="10"/>
      <c r="HO136" s="10"/>
      <c r="HP136" s="10"/>
      <c r="HQ136" s="10"/>
      <c r="HR136" s="10"/>
      <c r="HS136" s="10"/>
      <c r="HT136" s="10"/>
      <c r="HU136" s="10"/>
      <c r="HV136" s="10"/>
      <c r="HW136" s="10"/>
      <c r="HX136" s="10"/>
      <c r="HY136" s="10"/>
      <c r="HZ136" s="10"/>
      <c r="IA136" s="10"/>
      <c r="IB136" s="10"/>
      <c r="IC136" s="10"/>
      <c r="ID136" s="10"/>
      <c r="IE136" s="10"/>
      <c r="IF136" s="10"/>
      <c r="IG136" s="10"/>
      <c r="IH136" s="10"/>
      <c r="II136" s="10"/>
      <c r="IJ136" s="10"/>
      <c r="IK136" s="10"/>
      <c r="IL136" s="10"/>
      <c r="IM136" s="10"/>
      <c r="IN136" s="10"/>
      <c r="IO136" s="10"/>
      <c r="IP136" s="10"/>
      <c r="IQ136" s="10"/>
      <c r="IR136" s="10"/>
      <c r="IS136" s="10"/>
      <c r="IT136" s="10"/>
      <c r="IU136" s="10"/>
      <c r="IV136" s="10"/>
    </row>
    <row r="137" spans="1:256" s="11" customFormat="1" ht="37.5" customHeight="1" x14ac:dyDescent="0.5">
      <c r="A137" s="133"/>
      <c r="B137" s="129"/>
      <c r="C137" s="134"/>
      <c r="D137" s="130"/>
      <c r="E137" s="124"/>
      <c r="F137" s="124"/>
      <c r="G137" s="124"/>
      <c r="H137" s="113"/>
      <c r="I137" s="113"/>
      <c r="J137" s="118"/>
      <c r="K137" s="129"/>
      <c r="L137" s="155"/>
      <c r="M137" s="10"/>
      <c r="N137" s="10"/>
      <c r="P137" s="10"/>
      <c r="Q137" s="10"/>
      <c r="R137" s="12"/>
      <c r="S137" s="12"/>
      <c r="T137" s="13"/>
      <c r="U137" s="14"/>
      <c r="V137" s="14"/>
      <c r="W137" s="13"/>
      <c r="X137" s="15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  <c r="BW137" s="10"/>
      <c r="BX137" s="10"/>
      <c r="BY137" s="10"/>
      <c r="BZ137" s="10"/>
      <c r="CA137" s="10"/>
      <c r="CB137" s="10"/>
      <c r="CC137" s="10"/>
      <c r="CD137" s="10"/>
      <c r="CE137" s="10"/>
      <c r="CF137" s="10"/>
      <c r="CG137" s="10"/>
      <c r="CH137" s="10"/>
      <c r="CI137" s="10"/>
      <c r="CJ137" s="10"/>
      <c r="CK137" s="10"/>
      <c r="CL137" s="10"/>
      <c r="CM137" s="10"/>
      <c r="CN137" s="10"/>
      <c r="CO137" s="10"/>
      <c r="CP137" s="10"/>
      <c r="CQ137" s="10"/>
      <c r="CR137" s="10"/>
      <c r="CS137" s="10"/>
      <c r="CT137" s="10"/>
      <c r="CU137" s="10"/>
      <c r="CV137" s="10"/>
      <c r="CW137" s="10"/>
      <c r="CX137" s="10"/>
      <c r="CY137" s="10"/>
      <c r="CZ137" s="10"/>
      <c r="DA137" s="10"/>
      <c r="DB137" s="10"/>
      <c r="DC137" s="10"/>
      <c r="DD137" s="10"/>
      <c r="DE137" s="10"/>
      <c r="DF137" s="10"/>
      <c r="DG137" s="10"/>
      <c r="DH137" s="10"/>
      <c r="DI137" s="10"/>
      <c r="DJ137" s="10"/>
      <c r="DK137" s="10"/>
      <c r="DL137" s="10"/>
      <c r="DM137" s="10"/>
      <c r="DN137" s="10"/>
      <c r="DO137" s="10"/>
      <c r="DP137" s="10"/>
      <c r="DQ137" s="10"/>
      <c r="DR137" s="10"/>
      <c r="DS137" s="10"/>
      <c r="DT137" s="10"/>
      <c r="DU137" s="10"/>
      <c r="DV137" s="10"/>
      <c r="DW137" s="10"/>
      <c r="DX137" s="10"/>
      <c r="DY137" s="10"/>
      <c r="DZ137" s="10"/>
      <c r="EA137" s="10"/>
      <c r="EB137" s="10"/>
      <c r="EC137" s="10"/>
      <c r="ED137" s="10"/>
      <c r="EE137" s="10"/>
      <c r="EF137" s="10"/>
      <c r="EG137" s="10"/>
      <c r="EH137" s="10"/>
      <c r="EI137" s="10"/>
      <c r="EJ137" s="10"/>
      <c r="EK137" s="10"/>
      <c r="EL137" s="10"/>
      <c r="EM137" s="10"/>
      <c r="EN137" s="10"/>
      <c r="EO137" s="10"/>
      <c r="EP137" s="10"/>
      <c r="EQ137" s="10"/>
      <c r="ER137" s="10"/>
      <c r="ES137" s="10"/>
      <c r="ET137" s="10"/>
      <c r="EU137" s="10"/>
      <c r="EV137" s="10"/>
      <c r="EW137" s="10"/>
      <c r="EX137" s="10"/>
      <c r="EY137" s="10"/>
      <c r="EZ137" s="10"/>
      <c r="FA137" s="10"/>
      <c r="FB137" s="10"/>
      <c r="FC137" s="10"/>
      <c r="FD137" s="10"/>
      <c r="FE137" s="10"/>
      <c r="FF137" s="10"/>
      <c r="FG137" s="10"/>
      <c r="FH137" s="10"/>
      <c r="FI137" s="10"/>
      <c r="FJ137" s="10"/>
      <c r="FK137" s="10"/>
      <c r="FL137" s="10"/>
      <c r="FM137" s="10"/>
      <c r="FN137" s="10"/>
      <c r="FO137" s="10"/>
      <c r="FP137" s="10"/>
      <c r="FQ137" s="10"/>
      <c r="FR137" s="10"/>
      <c r="FS137" s="10"/>
      <c r="FT137" s="10"/>
      <c r="FU137" s="10"/>
      <c r="FV137" s="10"/>
      <c r="FW137" s="10"/>
      <c r="FX137" s="10"/>
      <c r="FY137" s="10"/>
      <c r="FZ137" s="10"/>
      <c r="GA137" s="10"/>
      <c r="GB137" s="10"/>
      <c r="GC137" s="10"/>
      <c r="GD137" s="10"/>
      <c r="GE137" s="10"/>
      <c r="GF137" s="10"/>
      <c r="GG137" s="10"/>
      <c r="GH137" s="10"/>
      <c r="GI137" s="10"/>
      <c r="GJ137" s="10"/>
      <c r="GK137" s="10"/>
      <c r="GL137" s="10"/>
      <c r="GM137" s="10"/>
      <c r="GN137" s="10"/>
      <c r="GO137" s="10"/>
      <c r="GP137" s="10"/>
      <c r="GQ137" s="10"/>
      <c r="GR137" s="10"/>
      <c r="GS137" s="10"/>
      <c r="GT137" s="10"/>
      <c r="GU137" s="10"/>
      <c r="GV137" s="10"/>
      <c r="GW137" s="10"/>
      <c r="GX137" s="10"/>
      <c r="GY137" s="10"/>
      <c r="GZ137" s="10"/>
      <c r="HA137" s="10"/>
      <c r="HB137" s="10"/>
      <c r="HC137" s="10"/>
      <c r="HD137" s="10"/>
      <c r="HE137" s="10"/>
      <c r="HF137" s="10"/>
      <c r="HG137" s="10"/>
      <c r="HH137" s="10"/>
      <c r="HI137" s="10"/>
      <c r="HJ137" s="10"/>
      <c r="HK137" s="10"/>
      <c r="HL137" s="10"/>
      <c r="HM137" s="10"/>
      <c r="HN137" s="10"/>
      <c r="HO137" s="10"/>
      <c r="HP137" s="10"/>
      <c r="HQ137" s="10"/>
      <c r="HR137" s="10"/>
      <c r="HS137" s="10"/>
      <c r="HT137" s="10"/>
      <c r="HU137" s="10"/>
      <c r="HV137" s="10"/>
      <c r="HW137" s="10"/>
      <c r="HX137" s="10"/>
      <c r="HY137" s="10"/>
      <c r="HZ137" s="10"/>
      <c r="IA137" s="10"/>
      <c r="IB137" s="10"/>
      <c r="IC137" s="10"/>
      <c r="ID137" s="10"/>
      <c r="IE137" s="10"/>
      <c r="IF137" s="10"/>
      <c r="IG137" s="10"/>
      <c r="IH137" s="10"/>
      <c r="II137" s="10"/>
      <c r="IJ137" s="10"/>
      <c r="IK137" s="10"/>
      <c r="IL137" s="10"/>
      <c r="IM137" s="10"/>
      <c r="IN137" s="10"/>
      <c r="IO137" s="10"/>
      <c r="IP137" s="10"/>
      <c r="IQ137" s="10"/>
      <c r="IR137" s="10"/>
      <c r="IS137" s="10"/>
      <c r="IT137" s="10"/>
      <c r="IU137" s="10"/>
      <c r="IV137" s="10"/>
    </row>
    <row r="138" spans="1:256" s="11" customFormat="1" ht="37.5" customHeight="1" x14ac:dyDescent="0.5">
      <c r="A138" s="133"/>
      <c r="B138" s="129"/>
      <c r="C138" s="134"/>
      <c r="D138" s="130"/>
      <c r="E138" s="124"/>
      <c r="F138" s="124"/>
      <c r="G138" s="124"/>
      <c r="H138" s="113"/>
      <c r="I138" s="113" t="s">
        <v>0</v>
      </c>
      <c r="J138" s="118"/>
      <c r="K138" s="129"/>
      <c r="L138" s="155"/>
      <c r="M138" s="10"/>
      <c r="N138" s="10"/>
      <c r="P138" s="10"/>
      <c r="Q138" s="10"/>
      <c r="R138" s="12"/>
      <c r="S138" s="12"/>
      <c r="T138" s="13"/>
      <c r="U138" s="14"/>
      <c r="V138" s="14"/>
      <c r="W138" s="13"/>
      <c r="X138" s="15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  <c r="BU138" s="10"/>
      <c r="BV138" s="10"/>
      <c r="BW138" s="10"/>
      <c r="BX138" s="10"/>
      <c r="BY138" s="10"/>
      <c r="BZ138" s="10"/>
      <c r="CA138" s="10"/>
      <c r="CB138" s="10"/>
      <c r="CC138" s="10"/>
      <c r="CD138" s="10"/>
      <c r="CE138" s="10"/>
      <c r="CF138" s="10"/>
      <c r="CG138" s="10"/>
      <c r="CH138" s="10"/>
      <c r="CI138" s="10"/>
      <c r="CJ138" s="10"/>
      <c r="CK138" s="10"/>
      <c r="CL138" s="10"/>
      <c r="CM138" s="10"/>
      <c r="CN138" s="10"/>
      <c r="CO138" s="10"/>
      <c r="CP138" s="10"/>
      <c r="CQ138" s="10"/>
      <c r="CR138" s="10"/>
      <c r="CS138" s="10"/>
      <c r="CT138" s="10"/>
      <c r="CU138" s="10"/>
      <c r="CV138" s="10"/>
      <c r="CW138" s="10"/>
      <c r="CX138" s="10"/>
      <c r="CY138" s="10"/>
      <c r="CZ138" s="10"/>
      <c r="DA138" s="10"/>
      <c r="DB138" s="10"/>
      <c r="DC138" s="10"/>
      <c r="DD138" s="10"/>
      <c r="DE138" s="10"/>
      <c r="DF138" s="10"/>
      <c r="DG138" s="10"/>
      <c r="DH138" s="10"/>
      <c r="DI138" s="10"/>
      <c r="DJ138" s="10"/>
      <c r="DK138" s="10"/>
      <c r="DL138" s="10"/>
      <c r="DM138" s="10"/>
      <c r="DN138" s="10"/>
      <c r="DO138" s="10"/>
      <c r="DP138" s="10"/>
      <c r="DQ138" s="10"/>
      <c r="DR138" s="10"/>
      <c r="DS138" s="10"/>
      <c r="DT138" s="10"/>
      <c r="DU138" s="10"/>
      <c r="DV138" s="10"/>
      <c r="DW138" s="10"/>
      <c r="DX138" s="10"/>
      <c r="DY138" s="10"/>
      <c r="DZ138" s="10"/>
      <c r="EA138" s="10"/>
      <c r="EB138" s="10"/>
      <c r="EC138" s="10"/>
      <c r="ED138" s="10"/>
      <c r="EE138" s="10"/>
      <c r="EF138" s="10"/>
      <c r="EG138" s="10"/>
      <c r="EH138" s="10"/>
      <c r="EI138" s="10"/>
      <c r="EJ138" s="10"/>
      <c r="EK138" s="10"/>
      <c r="EL138" s="10"/>
      <c r="EM138" s="10"/>
      <c r="EN138" s="10"/>
      <c r="EO138" s="10"/>
      <c r="EP138" s="10"/>
      <c r="EQ138" s="10"/>
      <c r="ER138" s="10"/>
      <c r="ES138" s="10"/>
      <c r="ET138" s="10"/>
      <c r="EU138" s="10"/>
      <c r="EV138" s="10"/>
      <c r="EW138" s="10"/>
      <c r="EX138" s="10"/>
      <c r="EY138" s="10"/>
      <c r="EZ138" s="10"/>
      <c r="FA138" s="10"/>
      <c r="FB138" s="10"/>
      <c r="FC138" s="10"/>
      <c r="FD138" s="10"/>
      <c r="FE138" s="10"/>
      <c r="FF138" s="10"/>
      <c r="FG138" s="10"/>
      <c r="FH138" s="10"/>
      <c r="FI138" s="10"/>
      <c r="FJ138" s="10"/>
      <c r="FK138" s="10"/>
      <c r="FL138" s="10"/>
      <c r="FM138" s="10"/>
      <c r="FN138" s="10"/>
      <c r="FO138" s="10"/>
      <c r="FP138" s="10"/>
      <c r="FQ138" s="10"/>
      <c r="FR138" s="10"/>
      <c r="FS138" s="10"/>
      <c r="FT138" s="10"/>
      <c r="FU138" s="10"/>
      <c r="FV138" s="10"/>
      <c r="FW138" s="10"/>
      <c r="FX138" s="10"/>
      <c r="FY138" s="10"/>
      <c r="FZ138" s="10"/>
      <c r="GA138" s="10"/>
      <c r="GB138" s="10"/>
      <c r="GC138" s="10"/>
      <c r="GD138" s="10"/>
      <c r="GE138" s="10"/>
      <c r="GF138" s="10"/>
      <c r="GG138" s="10"/>
      <c r="GH138" s="10"/>
      <c r="GI138" s="10"/>
      <c r="GJ138" s="10"/>
      <c r="GK138" s="10"/>
      <c r="GL138" s="10"/>
      <c r="GM138" s="10"/>
      <c r="GN138" s="10"/>
      <c r="GO138" s="10"/>
      <c r="GP138" s="10"/>
      <c r="GQ138" s="10"/>
      <c r="GR138" s="10"/>
      <c r="GS138" s="10"/>
      <c r="GT138" s="10"/>
      <c r="GU138" s="10"/>
      <c r="GV138" s="10"/>
      <c r="GW138" s="10"/>
      <c r="GX138" s="10"/>
      <c r="GY138" s="10"/>
      <c r="GZ138" s="10"/>
      <c r="HA138" s="10"/>
      <c r="HB138" s="10"/>
      <c r="HC138" s="10"/>
      <c r="HD138" s="10"/>
      <c r="HE138" s="10"/>
      <c r="HF138" s="10"/>
      <c r="HG138" s="10"/>
      <c r="HH138" s="10"/>
      <c r="HI138" s="10"/>
      <c r="HJ138" s="10"/>
      <c r="HK138" s="10"/>
      <c r="HL138" s="10"/>
      <c r="HM138" s="10"/>
      <c r="HN138" s="10"/>
      <c r="HO138" s="10"/>
      <c r="HP138" s="10"/>
      <c r="HQ138" s="10"/>
      <c r="HR138" s="10"/>
      <c r="HS138" s="10"/>
      <c r="HT138" s="10"/>
      <c r="HU138" s="10"/>
      <c r="HV138" s="10"/>
      <c r="HW138" s="10"/>
      <c r="HX138" s="10"/>
      <c r="HY138" s="10"/>
      <c r="HZ138" s="10"/>
      <c r="IA138" s="10"/>
      <c r="IB138" s="10"/>
      <c r="IC138" s="10"/>
      <c r="ID138" s="10"/>
      <c r="IE138" s="10"/>
      <c r="IF138" s="10"/>
      <c r="IG138" s="10"/>
      <c r="IH138" s="10"/>
      <c r="II138" s="10"/>
      <c r="IJ138" s="10"/>
      <c r="IK138" s="10"/>
      <c r="IL138" s="10"/>
      <c r="IM138" s="10"/>
      <c r="IN138" s="10"/>
      <c r="IO138" s="10"/>
      <c r="IP138" s="10"/>
      <c r="IQ138" s="10"/>
      <c r="IR138" s="10"/>
      <c r="IS138" s="10"/>
      <c r="IT138" s="10"/>
      <c r="IU138" s="10"/>
      <c r="IV138" s="10"/>
    </row>
    <row r="139" spans="1:256" s="11" customFormat="1" ht="25" x14ac:dyDescent="0.5">
      <c r="A139" s="158" t="s">
        <v>209</v>
      </c>
      <c r="B139" s="129"/>
      <c r="C139" s="134"/>
      <c r="D139" s="130"/>
      <c r="E139" s="124"/>
      <c r="F139" s="124"/>
      <c r="G139" s="124"/>
      <c r="H139" s="113"/>
      <c r="I139" s="113"/>
      <c r="J139" s="118"/>
      <c r="K139" s="129"/>
      <c r="L139" s="155"/>
      <c r="M139" s="10"/>
      <c r="N139" s="10"/>
      <c r="P139" s="10"/>
      <c r="Q139" s="10"/>
      <c r="R139" s="12"/>
      <c r="S139" s="12"/>
      <c r="T139" s="13"/>
      <c r="U139" s="14"/>
      <c r="V139" s="14"/>
      <c r="W139" s="13"/>
      <c r="X139" s="15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  <c r="BU139" s="10"/>
      <c r="BV139" s="10"/>
      <c r="BW139" s="10"/>
      <c r="BX139" s="10"/>
      <c r="BY139" s="10"/>
      <c r="BZ139" s="10"/>
      <c r="CA139" s="10"/>
      <c r="CB139" s="10"/>
      <c r="CC139" s="10"/>
      <c r="CD139" s="10"/>
      <c r="CE139" s="10"/>
      <c r="CF139" s="10"/>
      <c r="CG139" s="10"/>
      <c r="CH139" s="10"/>
      <c r="CI139" s="10"/>
      <c r="CJ139" s="10"/>
      <c r="CK139" s="10"/>
      <c r="CL139" s="10"/>
      <c r="CM139" s="10"/>
      <c r="CN139" s="10"/>
      <c r="CO139" s="10"/>
      <c r="CP139" s="10"/>
      <c r="CQ139" s="10"/>
      <c r="CR139" s="10"/>
      <c r="CS139" s="10"/>
      <c r="CT139" s="10"/>
      <c r="CU139" s="10"/>
      <c r="CV139" s="10"/>
      <c r="CW139" s="10"/>
      <c r="CX139" s="10"/>
      <c r="CY139" s="10"/>
      <c r="CZ139" s="10"/>
      <c r="DA139" s="10"/>
      <c r="DB139" s="10"/>
      <c r="DC139" s="10"/>
      <c r="DD139" s="10"/>
      <c r="DE139" s="10"/>
      <c r="DF139" s="10"/>
      <c r="DG139" s="10"/>
      <c r="DH139" s="10"/>
      <c r="DI139" s="10"/>
      <c r="DJ139" s="10"/>
      <c r="DK139" s="10"/>
      <c r="DL139" s="10"/>
      <c r="DM139" s="10"/>
      <c r="DN139" s="10"/>
      <c r="DO139" s="10"/>
      <c r="DP139" s="10"/>
      <c r="DQ139" s="10"/>
      <c r="DR139" s="10"/>
      <c r="DS139" s="10"/>
      <c r="DT139" s="10"/>
      <c r="DU139" s="10"/>
      <c r="DV139" s="10"/>
      <c r="DW139" s="10"/>
      <c r="DX139" s="10"/>
      <c r="DY139" s="10"/>
      <c r="DZ139" s="10"/>
      <c r="EA139" s="10"/>
      <c r="EB139" s="10"/>
      <c r="EC139" s="10"/>
      <c r="ED139" s="10"/>
      <c r="EE139" s="10"/>
      <c r="EF139" s="10"/>
      <c r="EG139" s="10"/>
      <c r="EH139" s="10"/>
      <c r="EI139" s="10"/>
      <c r="EJ139" s="10"/>
      <c r="EK139" s="10"/>
      <c r="EL139" s="10"/>
      <c r="EM139" s="10"/>
      <c r="EN139" s="10"/>
      <c r="EO139" s="10"/>
      <c r="EP139" s="10"/>
      <c r="EQ139" s="10"/>
      <c r="ER139" s="10"/>
      <c r="ES139" s="10"/>
      <c r="ET139" s="10"/>
      <c r="EU139" s="10"/>
      <c r="EV139" s="10"/>
      <c r="EW139" s="10"/>
      <c r="EX139" s="10"/>
      <c r="EY139" s="10"/>
      <c r="EZ139" s="10"/>
      <c r="FA139" s="10"/>
      <c r="FB139" s="10"/>
      <c r="FC139" s="10"/>
      <c r="FD139" s="10"/>
      <c r="FE139" s="10"/>
      <c r="FF139" s="10"/>
      <c r="FG139" s="10"/>
      <c r="FH139" s="10"/>
      <c r="FI139" s="10"/>
      <c r="FJ139" s="10"/>
      <c r="FK139" s="10"/>
      <c r="FL139" s="10"/>
      <c r="FM139" s="10"/>
      <c r="FN139" s="10"/>
      <c r="FO139" s="10"/>
      <c r="FP139" s="10"/>
      <c r="FQ139" s="10"/>
      <c r="FR139" s="10"/>
      <c r="FS139" s="10"/>
      <c r="FT139" s="10"/>
      <c r="FU139" s="10"/>
      <c r="FV139" s="10"/>
      <c r="FW139" s="10"/>
      <c r="FX139" s="10"/>
      <c r="FY139" s="10"/>
      <c r="FZ139" s="10"/>
      <c r="GA139" s="10"/>
      <c r="GB139" s="10"/>
      <c r="GC139" s="10"/>
      <c r="GD139" s="10"/>
      <c r="GE139" s="10"/>
      <c r="GF139" s="10"/>
      <c r="GG139" s="10"/>
      <c r="GH139" s="10"/>
      <c r="GI139" s="10"/>
      <c r="GJ139" s="10"/>
      <c r="GK139" s="10"/>
      <c r="GL139" s="10"/>
      <c r="GM139" s="10"/>
      <c r="GN139" s="10"/>
      <c r="GO139" s="10"/>
      <c r="GP139" s="10"/>
      <c r="GQ139" s="10"/>
      <c r="GR139" s="10"/>
      <c r="GS139" s="10"/>
      <c r="GT139" s="10"/>
      <c r="GU139" s="10"/>
      <c r="GV139" s="10"/>
      <c r="GW139" s="10"/>
      <c r="GX139" s="10"/>
      <c r="GY139" s="10"/>
      <c r="GZ139" s="10"/>
      <c r="HA139" s="10"/>
      <c r="HB139" s="10"/>
      <c r="HC139" s="10"/>
      <c r="HD139" s="10"/>
      <c r="HE139" s="10"/>
      <c r="HF139" s="10"/>
      <c r="HG139" s="10"/>
      <c r="HH139" s="10"/>
      <c r="HI139" s="10"/>
      <c r="HJ139" s="10"/>
      <c r="HK139" s="10"/>
      <c r="HL139" s="10"/>
      <c r="HM139" s="10"/>
      <c r="HN139" s="10"/>
      <c r="HO139" s="10"/>
      <c r="HP139" s="10"/>
      <c r="HQ139" s="10"/>
      <c r="HR139" s="10"/>
      <c r="HS139" s="10"/>
      <c r="HT139" s="10"/>
      <c r="HU139" s="10"/>
      <c r="HV139" s="10"/>
      <c r="HW139" s="10"/>
      <c r="HX139" s="10"/>
      <c r="HY139" s="10"/>
      <c r="HZ139" s="10"/>
      <c r="IA139" s="10"/>
      <c r="IB139" s="10"/>
      <c r="IC139" s="10"/>
      <c r="ID139" s="10"/>
      <c r="IE139" s="10"/>
      <c r="IF139" s="10"/>
      <c r="IG139" s="10"/>
      <c r="IH139" s="10"/>
      <c r="II139" s="10"/>
      <c r="IJ139" s="10"/>
      <c r="IK139" s="10"/>
      <c r="IL139" s="10"/>
      <c r="IM139" s="10"/>
      <c r="IN139" s="10"/>
      <c r="IO139" s="10"/>
      <c r="IP139" s="10"/>
      <c r="IQ139" s="10"/>
      <c r="IR139" s="10"/>
      <c r="IS139" s="10"/>
      <c r="IT139" s="10"/>
      <c r="IU139" s="10"/>
      <c r="IV139" s="10"/>
    </row>
    <row r="140" spans="1:256" s="11" customFormat="1" ht="25" x14ac:dyDescent="0.5">
      <c r="A140" s="158" t="s">
        <v>210</v>
      </c>
      <c r="B140" s="129"/>
      <c r="C140" s="134"/>
      <c r="D140" s="130"/>
      <c r="E140" s="124"/>
      <c r="F140" s="124"/>
      <c r="G140" s="124"/>
      <c r="H140" s="113"/>
      <c r="I140" s="113"/>
      <c r="J140" s="118"/>
      <c r="K140" s="129"/>
      <c r="L140" s="155"/>
      <c r="M140" s="10"/>
      <c r="N140" s="10"/>
      <c r="P140" s="10"/>
      <c r="Q140" s="10"/>
      <c r="R140" s="12"/>
      <c r="S140" s="12"/>
      <c r="T140" s="13"/>
      <c r="U140" s="14"/>
      <c r="V140" s="14"/>
      <c r="W140" s="13"/>
      <c r="X140" s="15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  <c r="AY140" s="10"/>
      <c r="AZ140" s="10"/>
      <c r="BA140" s="10"/>
      <c r="BB140" s="10"/>
      <c r="BC140" s="10"/>
      <c r="BD140" s="10"/>
      <c r="BE140" s="10"/>
      <c r="BF140" s="10"/>
      <c r="BG140" s="10"/>
      <c r="BH140" s="10"/>
      <c r="BI140" s="10"/>
      <c r="BJ140" s="10"/>
      <c r="BK140" s="10"/>
      <c r="BL140" s="10"/>
      <c r="BM140" s="10"/>
      <c r="BN140" s="10"/>
      <c r="BO140" s="10"/>
      <c r="BP140" s="10"/>
      <c r="BQ140" s="10"/>
      <c r="BR140" s="10"/>
      <c r="BS140" s="10"/>
      <c r="BT140" s="10"/>
      <c r="BU140" s="10"/>
      <c r="BV140" s="10"/>
      <c r="BW140" s="10"/>
      <c r="BX140" s="10"/>
      <c r="BY140" s="10"/>
      <c r="BZ140" s="10"/>
      <c r="CA140" s="10"/>
      <c r="CB140" s="10"/>
      <c r="CC140" s="10"/>
      <c r="CD140" s="10"/>
      <c r="CE140" s="10"/>
      <c r="CF140" s="10"/>
      <c r="CG140" s="10"/>
      <c r="CH140" s="10"/>
      <c r="CI140" s="10"/>
      <c r="CJ140" s="10"/>
      <c r="CK140" s="10"/>
      <c r="CL140" s="10"/>
      <c r="CM140" s="10"/>
      <c r="CN140" s="10"/>
      <c r="CO140" s="10"/>
      <c r="CP140" s="10"/>
      <c r="CQ140" s="10"/>
      <c r="CR140" s="10"/>
      <c r="CS140" s="10"/>
      <c r="CT140" s="10"/>
      <c r="CU140" s="10"/>
      <c r="CV140" s="10"/>
      <c r="CW140" s="10"/>
      <c r="CX140" s="10"/>
      <c r="CY140" s="10"/>
      <c r="CZ140" s="10"/>
      <c r="DA140" s="10"/>
      <c r="DB140" s="10"/>
      <c r="DC140" s="10"/>
      <c r="DD140" s="10"/>
      <c r="DE140" s="10"/>
      <c r="DF140" s="10"/>
      <c r="DG140" s="10"/>
      <c r="DH140" s="10"/>
      <c r="DI140" s="10"/>
      <c r="DJ140" s="10"/>
      <c r="DK140" s="10"/>
      <c r="DL140" s="10"/>
      <c r="DM140" s="10"/>
      <c r="DN140" s="10"/>
      <c r="DO140" s="10"/>
      <c r="DP140" s="10"/>
      <c r="DQ140" s="10"/>
      <c r="DR140" s="10"/>
      <c r="DS140" s="10"/>
      <c r="DT140" s="10"/>
      <c r="DU140" s="10"/>
      <c r="DV140" s="10"/>
      <c r="DW140" s="10"/>
      <c r="DX140" s="10"/>
      <c r="DY140" s="10"/>
      <c r="DZ140" s="10"/>
      <c r="EA140" s="10"/>
      <c r="EB140" s="10"/>
      <c r="EC140" s="10"/>
      <c r="ED140" s="10"/>
      <c r="EE140" s="10"/>
      <c r="EF140" s="10"/>
      <c r="EG140" s="10"/>
      <c r="EH140" s="10"/>
      <c r="EI140" s="10"/>
      <c r="EJ140" s="10"/>
      <c r="EK140" s="10"/>
      <c r="EL140" s="10"/>
      <c r="EM140" s="10"/>
      <c r="EN140" s="10"/>
      <c r="EO140" s="10"/>
      <c r="EP140" s="10"/>
      <c r="EQ140" s="10"/>
      <c r="ER140" s="10"/>
      <c r="ES140" s="10"/>
      <c r="ET140" s="10"/>
      <c r="EU140" s="10"/>
      <c r="EV140" s="10"/>
      <c r="EW140" s="10"/>
      <c r="EX140" s="10"/>
      <c r="EY140" s="10"/>
      <c r="EZ140" s="10"/>
      <c r="FA140" s="10"/>
      <c r="FB140" s="10"/>
      <c r="FC140" s="10"/>
      <c r="FD140" s="10"/>
      <c r="FE140" s="10"/>
      <c r="FF140" s="10"/>
      <c r="FG140" s="10"/>
      <c r="FH140" s="10"/>
      <c r="FI140" s="10"/>
      <c r="FJ140" s="10"/>
      <c r="FK140" s="10"/>
      <c r="FL140" s="10"/>
      <c r="FM140" s="10"/>
      <c r="FN140" s="10"/>
      <c r="FO140" s="10"/>
      <c r="FP140" s="10"/>
      <c r="FQ140" s="10"/>
      <c r="FR140" s="10"/>
      <c r="FS140" s="10"/>
      <c r="FT140" s="10"/>
      <c r="FU140" s="10"/>
      <c r="FV140" s="10"/>
      <c r="FW140" s="10"/>
      <c r="FX140" s="10"/>
      <c r="FY140" s="10"/>
      <c r="FZ140" s="10"/>
      <c r="GA140" s="10"/>
      <c r="GB140" s="10"/>
      <c r="GC140" s="10"/>
      <c r="GD140" s="10"/>
      <c r="GE140" s="10"/>
      <c r="GF140" s="10"/>
      <c r="GG140" s="10"/>
      <c r="GH140" s="10"/>
      <c r="GI140" s="10"/>
      <c r="GJ140" s="10"/>
      <c r="GK140" s="10"/>
      <c r="GL140" s="10"/>
      <c r="GM140" s="10"/>
      <c r="GN140" s="10"/>
      <c r="GO140" s="10"/>
      <c r="GP140" s="10"/>
      <c r="GQ140" s="10"/>
      <c r="GR140" s="10"/>
      <c r="GS140" s="10"/>
      <c r="GT140" s="10"/>
      <c r="GU140" s="10"/>
      <c r="GV140" s="10"/>
      <c r="GW140" s="10"/>
      <c r="GX140" s="10"/>
      <c r="GY140" s="10"/>
      <c r="GZ140" s="10"/>
      <c r="HA140" s="10"/>
      <c r="HB140" s="10"/>
      <c r="HC140" s="10"/>
      <c r="HD140" s="10"/>
      <c r="HE140" s="10"/>
      <c r="HF140" s="10"/>
      <c r="HG140" s="10"/>
      <c r="HH140" s="10"/>
      <c r="HI140" s="10"/>
      <c r="HJ140" s="10"/>
      <c r="HK140" s="10"/>
      <c r="HL140" s="10"/>
      <c r="HM140" s="10"/>
      <c r="HN140" s="10"/>
      <c r="HO140" s="10"/>
      <c r="HP140" s="10"/>
      <c r="HQ140" s="10"/>
      <c r="HR140" s="10"/>
      <c r="HS140" s="10"/>
      <c r="HT140" s="10"/>
      <c r="HU140" s="10"/>
      <c r="HV140" s="10"/>
      <c r="HW140" s="10"/>
      <c r="HX140" s="10"/>
      <c r="HY140" s="10"/>
      <c r="HZ140" s="10"/>
      <c r="IA140" s="10"/>
      <c r="IB140" s="10"/>
      <c r="IC140" s="10"/>
      <c r="ID140" s="10"/>
      <c r="IE140" s="10"/>
      <c r="IF140" s="10"/>
      <c r="IG140" s="10"/>
      <c r="IH140" s="10"/>
      <c r="II140" s="10"/>
      <c r="IJ140" s="10"/>
      <c r="IK140" s="10"/>
      <c r="IL140" s="10"/>
      <c r="IM140" s="10"/>
      <c r="IN140" s="10"/>
      <c r="IO140" s="10"/>
      <c r="IP140" s="10"/>
      <c r="IQ140" s="10"/>
      <c r="IR140" s="10"/>
      <c r="IS140" s="10"/>
      <c r="IT140" s="10"/>
      <c r="IU140" s="10"/>
      <c r="IV140" s="10"/>
    </row>
    <row r="141" spans="1:256" s="11" customFormat="1" ht="25" x14ac:dyDescent="0.5">
      <c r="A141" s="158" t="s">
        <v>211</v>
      </c>
      <c r="B141" s="129"/>
      <c r="C141" s="134"/>
      <c r="D141" s="130"/>
      <c r="E141" s="124"/>
      <c r="F141" s="124"/>
      <c r="G141" s="124"/>
      <c r="H141" s="113"/>
      <c r="I141" s="113"/>
      <c r="J141" s="118"/>
      <c r="K141" s="129"/>
      <c r="L141" s="155"/>
      <c r="M141" s="10"/>
      <c r="N141" s="10"/>
      <c r="P141" s="10"/>
      <c r="Q141" s="10"/>
      <c r="R141" s="12"/>
      <c r="S141" s="12"/>
      <c r="T141" s="13"/>
      <c r="U141" s="14"/>
      <c r="V141" s="14"/>
      <c r="W141" s="13"/>
      <c r="X141" s="15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  <c r="AY141" s="10"/>
      <c r="AZ141" s="10"/>
      <c r="BA141" s="10"/>
      <c r="BB141" s="10"/>
      <c r="BC141" s="10"/>
      <c r="BD141" s="10"/>
      <c r="BE141" s="10"/>
      <c r="BF141" s="10"/>
      <c r="BG141" s="10"/>
      <c r="BH141" s="10"/>
      <c r="BI141" s="10"/>
      <c r="BJ141" s="10"/>
      <c r="BK141" s="10"/>
      <c r="BL141" s="10"/>
      <c r="BM141" s="10"/>
      <c r="BN141" s="10"/>
      <c r="BO141" s="10"/>
      <c r="BP141" s="10"/>
      <c r="BQ141" s="10"/>
      <c r="BR141" s="10"/>
      <c r="BS141" s="10"/>
      <c r="BT141" s="10"/>
      <c r="BU141" s="10"/>
      <c r="BV141" s="10"/>
      <c r="BW141" s="10"/>
      <c r="BX141" s="10"/>
      <c r="BY141" s="10"/>
      <c r="BZ141" s="10"/>
      <c r="CA141" s="10"/>
      <c r="CB141" s="10"/>
      <c r="CC141" s="10"/>
      <c r="CD141" s="10"/>
      <c r="CE141" s="10"/>
      <c r="CF141" s="10"/>
      <c r="CG141" s="10"/>
      <c r="CH141" s="10"/>
      <c r="CI141" s="10"/>
      <c r="CJ141" s="10"/>
      <c r="CK141" s="10"/>
      <c r="CL141" s="10"/>
      <c r="CM141" s="10"/>
      <c r="CN141" s="10"/>
      <c r="CO141" s="10"/>
      <c r="CP141" s="10"/>
      <c r="CQ141" s="10"/>
      <c r="CR141" s="10"/>
      <c r="CS141" s="10"/>
      <c r="CT141" s="10"/>
      <c r="CU141" s="10"/>
      <c r="CV141" s="10"/>
      <c r="CW141" s="10"/>
      <c r="CX141" s="10"/>
      <c r="CY141" s="10"/>
      <c r="CZ141" s="10"/>
      <c r="DA141" s="10"/>
      <c r="DB141" s="10"/>
      <c r="DC141" s="10"/>
      <c r="DD141" s="10"/>
      <c r="DE141" s="10"/>
      <c r="DF141" s="10"/>
      <c r="DG141" s="10"/>
      <c r="DH141" s="10"/>
      <c r="DI141" s="10"/>
      <c r="DJ141" s="10"/>
      <c r="DK141" s="10"/>
      <c r="DL141" s="10"/>
      <c r="DM141" s="10"/>
      <c r="DN141" s="10"/>
      <c r="DO141" s="10"/>
      <c r="DP141" s="10"/>
      <c r="DQ141" s="10"/>
      <c r="DR141" s="10"/>
      <c r="DS141" s="10"/>
      <c r="DT141" s="10"/>
      <c r="DU141" s="10"/>
      <c r="DV141" s="10"/>
      <c r="DW141" s="10"/>
      <c r="DX141" s="10"/>
      <c r="DY141" s="10"/>
      <c r="DZ141" s="10"/>
      <c r="EA141" s="10"/>
      <c r="EB141" s="10"/>
      <c r="EC141" s="10"/>
      <c r="ED141" s="10"/>
      <c r="EE141" s="10"/>
      <c r="EF141" s="10"/>
      <c r="EG141" s="10"/>
      <c r="EH141" s="10"/>
      <c r="EI141" s="10"/>
      <c r="EJ141" s="10"/>
      <c r="EK141" s="10"/>
      <c r="EL141" s="10"/>
      <c r="EM141" s="10"/>
      <c r="EN141" s="10"/>
      <c r="EO141" s="10"/>
      <c r="EP141" s="10"/>
      <c r="EQ141" s="10"/>
      <c r="ER141" s="10"/>
      <c r="ES141" s="10"/>
      <c r="ET141" s="10"/>
      <c r="EU141" s="10"/>
      <c r="EV141" s="10"/>
      <c r="EW141" s="10"/>
      <c r="EX141" s="10"/>
      <c r="EY141" s="10"/>
      <c r="EZ141" s="10"/>
      <c r="FA141" s="10"/>
      <c r="FB141" s="10"/>
      <c r="FC141" s="10"/>
      <c r="FD141" s="10"/>
      <c r="FE141" s="10"/>
      <c r="FF141" s="10"/>
      <c r="FG141" s="10"/>
      <c r="FH141" s="10"/>
      <c r="FI141" s="10"/>
      <c r="FJ141" s="10"/>
      <c r="FK141" s="10"/>
      <c r="FL141" s="10"/>
      <c r="FM141" s="10"/>
      <c r="FN141" s="10"/>
      <c r="FO141" s="10"/>
      <c r="FP141" s="10"/>
      <c r="FQ141" s="10"/>
      <c r="FR141" s="10"/>
      <c r="FS141" s="10"/>
      <c r="FT141" s="10"/>
      <c r="FU141" s="10"/>
      <c r="FV141" s="10"/>
      <c r="FW141" s="10"/>
      <c r="FX141" s="10"/>
      <c r="FY141" s="10"/>
      <c r="FZ141" s="10"/>
      <c r="GA141" s="10"/>
      <c r="GB141" s="10"/>
      <c r="GC141" s="10"/>
      <c r="GD141" s="10"/>
      <c r="GE141" s="10"/>
      <c r="GF141" s="10"/>
      <c r="GG141" s="10"/>
      <c r="GH141" s="10"/>
      <c r="GI141" s="10"/>
      <c r="GJ141" s="10"/>
      <c r="GK141" s="10"/>
      <c r="GL141" s="10"/>
      <c r="GM141" s="10"/>
      <c r="GN141" s="10"/>
      <c r="GO141" s="10"/>
      <c r="GP141" s="10"/>
      <c r="GQ141" s="10"/>
      <c r="GR141" s="10"/>
      <c r="GS141" s="10"/>
      <c r="GT141" s="10"/>
      <c r="GU141" s="10"/>
      <c r="GV141" s="10"/>
      <c r="GW141" s="10"/>
      <c r="GX141" s="10"/>
      <c r="GY141" s="10"/>
      <c r="GZ141" s="10"/>
      <c r="HA141" s="10"/>
      <c r="HB141" s="10"/>
      <c r="HC141" s="10"/>
      <c r="HD141" s="10"/>
      <c r="HE141" s="10"/>
      <c r="HF141" s="10"/>
      <c r="HG141" s="10"/>
      <c r="HH141" s="10"/>
      <c r="HI141" s="10"/>
      <c r="HJ141" s="10"/>
      <c r="HK141" s="10"/>
      <c r="HL141" s="10"/>
      <c r="HM141" s="10"/>
      <c r="HN141" s="10"/>
      <c r="HO141" s="10"/>
      <c r="HP141" s="10"/>
      <c r="HQ141" s="10"/>
      <c r="HR141" s="10"/>
      <c r="HS141" s="10"/>
      <c r="HT141" s="10"/>
      <c r="HU141" s="10"/>
      <c r="HV141" s="10"/>
      <c r="HW141" s="10"/>
      <c r="HX141" s="10"/>
      <c r="HY141" s="10"/>
      <c r="HZ141" s="10"/>
      <c r="IA141" s="10"/>
      <c r="IB141" s="10"/>
      <c r="IC141" s="10"/>
      <c r="ID141" s="10"/>
      <c r="IE141" s="10"/>
      <c r="IF141" s="10"/>
      <c r="IG141" s="10"/>
      <c r="IH141" s="10"/>
      <c r="II141" s="10"/>
      <c r="IJ141" s="10"/>
      <c r="IK141" s="10"/>
      <c r="IL141" s="10"/>
      <c r="IM141" s="10"/>
      <c r="IN141" s="10"/>
      <c r="IO141" s="10"/>
      <c r="IP141" s="10"/>
      <c r="IQ141" s="10"/>
      <c r="IR141" s="10"/>
      <c r="IS141" s="10"/>
      <c r="IT141" s="10"/>
      <c r="IU141" s="10"/>
      <c r="IV141" s="10"/>
    </row>
    <row r="142" spans="1:256" s="11" customFormat="1" ht="25" x14ac:dyDescent="0.5">
      <c r="A142" s="158" t="s">
        <v>212</v>
      </c>
      <c r="B142" s="129"/>
      <c r="C142" s="134"/>
      <c r="D142" s="130"/>
      <c r="E142" s="124"/>
      <c r="F142" s="124"/>
      <c r="G142" s="124"/>
      <c r="H142" s="113"/>
      <c r="I142" s="113"/>
      <c r="J142" s="118"/>
      <c r="K142" s="129"/>
      <c r="L142" s="155"/>
      <c r="M142" s="10"/>
      <c r="N142" s="10"/>
      <c r="P142" s="10"/>
      <c r="Q142" s="10"/>
      <c r="R142" s="12"/>
      <c r="S142" s="12"/>
      <c r="T142" s="13"/>
      <c r="U142" s="14"/>
      <c r="V142" s="14"/>
      <c r="W142" s="13"/>
      <c r="X142" s="15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/>
      <c r="AU142" s="10"/>
      <c r="AV142" s="10"/>
      <c r="AW142" s="10"/>
      <c r="AX142" s="10"/>
      <c r="AY142" s="10"/>
      <c r="AZ142" s="10"/>
      <c r="BA142" s="10"/>
      <c r="BB142" s="10"/>
      <c r="BC142" s="10"/>
      <c r="BD142" s="10"/>
      <c r="BE142" s="10"/>
      <c r="BF142" s="10"/>
      <c r="BG142" s="10"/>
      <c r="BH142" s="10"/>
      <c r="BI142" s="10"/>
      <c r="BJ142" s="10"/>
      <c r="BK142" s="10"/>
      <c r="BL142" s="10"/>
      <c r="BM142" s="10"/>
      <c r="BN142" s="10"/>
      <c r="BO142" s="10"/>
      <c r="BP142" s="10"/>
      <c r="BQ142" s="10"/>
      <c r="BR142" s="10"/>
      <c r="BS142" s="10"/>
      <c r="BT142" s="10"/>
      <c r="BU142" s="10"/>
      <c r="BV142" s="10"/>
      <c r="BW142" s="10"/>
      <c r="BX142" s="10"/>
      <c r="BY142" s="10"/>
      <c r="BZ142" s="10"/>
      <c r="CA142" s="10"/>
      <c r="CB142" s="10"/>
      <c r="CC142" s="10"/>
      <c r="CD142" s="10"/>
      <c r="CE142" s="10"/>
      <c r="CF142" s="10"/>
      <c r="CG142" s="10"/>
      <c r="CH142" s="10"/>
      <c r="CI142" s="10"/>
      <c r="CJ142" s="10"/>
      <c r="CK142" s="10"/>
      <c r="CL142" s="10"/>
      <c r="CM142" s="10"/>
      <c r="CN142" s="10"/>
      <c r="CO142" s="10"/>
      <c r="CP142" s="10"/>
      <c r="CQ142" s="10"/>
      <c r="CR142" s="10"/>
      <c r="CS142" s="10"/>
      <c r="CT142" s="10"/>
      <c r="CU142" s="10"/>
      <c r="CV142" s="10"/>
      <c r="CW142" s="10"/>
      <c r="CX142" s="10"/>
      <c r="CY142" s="10"/>
      <c r="CZ142" s="10"/>
      <c r="DA142" s="10"/>
      <c r="DB142" s="10"/>
      <c r="DC142" s="10"/>
      <c r="DD142" s="10"/>
      <c r="DE142" s="10"/>
      <c r="DF142" s="10"/>
      <c r="DG142" s="10"/>
      <c r="DH142" s="10"/>
      <c r="DI142" s="10"/>
      <c r="DJ142" s="10"/>
      <c r="DK142" s="10"/>
      <c r="DL142" s="10"/>
      <c r="DM142" s="10"/>
      <c r="DN142" s="10"/>
      <c r="DO142" s="10"/>
      <c r="DP142" s="10"/>
      <c r="DQ142" s="10"/>
      <c r="DR142" s="10"/>
      <c r="DS142" s="10"/>
      <c r="DT142" s="10"/>
      <c r="DU142" s="10"/>
      <c r="DV142" s="10"/>
      <c r="DW142" s="10"/>
      <c r="DX142" s="10"/>
      <c r="DY142" s="10"/>
      <c r="DZ142" s="10"/>
      <c r="EA142" s="10"/>
      <c r="EB142" s="10"/>
      <c r="EC142" s="10"/>
      <c r="ED142" s="10"/>
      <c r="EE142" s="10"/>
      <c r="EF142" s="10"/>
      <c r="EG142" s="10"/>
      <c r="EH142" s="10"/>
      <c r="EI142" s="10"/>
      <c r="EJ142" s="10"/>
      <c r="EK142" s="10"/>
      <c r="EL142" s="10"/>
      <c r="EM142" s="10"/>
      <c r="EN142" s="10"/>
      <c r="EO142" s="10"/>
      <c r="EP142" s="10"/>
      <c r="EQ142" s="10"/>
      <c r="ER142" s="10"/>
      <c r="ES142" s="10"/>
      <c r="ET142" s="10"/>
      <c r="EU142" s="10"/>
      <c r="EV142" s="10"/>
      <c r="EW142" s="10"/>
      <c r="EX142" s="10"/>
      <c r="EY142" s="10"/>
      <c r="EZ142" s="10"/>
      <c r="FA142" s="10"/>
      <c r="FB142" s="10"/>
      <c r="FC142" s="10"/>
      <c r="FD142" s="10"/>
      <c r="FE142" s="10"/>
      <c r="FF142" s="10"/>
      <c r="FG142" s="10"/>
      <c r="FH142" s="10"/>
      <c r="FI142" s="10"/>
      <c r="FJ142" s="10"/>
      <c r="FK142" s="10"/>
      <c r="FL142" s="10"/>
      <c r="FM142" s="10"/>
      <c r="FN142" s="10"/>
      <c r="FO142" s="10"/>
      <c r="FP142" s="10"/>
      <c r="FQ142" s="10"/>
      <c r="FR142" s="10"/>
      <c r="FS142" s="10"/>
      <c r="FT142" s="10"/>
      <c r="FU142" s="10"/>
      <c r="FV142" s="10"/>
      <c r="FW142" s="10"/>
      <c r="FX142" s="10"/>
      <c r="FY142" s="10"/>
      <c r="FZ142" s="10"/>
      <c r="GA142" s="10"/>
      <c r="GB142" s="10"/>
      <c r="GC142" s="10"/>
      <c r="GD142" s="10"/>
      <c r="GE142" s="10"/>
      <c r="GF142" s="10"/>
      <c r="GG142" s="10"/>
      <c r="GH142" s="10"/>
      <c r="GI142" s="10"/>
      <c r="GJ142" s="10"/>
      <c r="GK142" s="10"/>
      <c r="GL142" s="10"/>
      <c r="GM142" s="10"/>
      <c r="GN142" s="10"/>
      <c r="GO142" s="10"/>
      <c r="GP142" s="10"/>
      <c r="GQ142" s="10"/>
      <c r="GR142" s="10"/>
      <c r="GS142" s="10"/>
      <c r="GT142" s="10"/>
      <c r="GU142" s="10"/>
      <c r="GV142" s="10"/>
      <c r="GW142" s="10"/>
      <c r="GX142" s="10"/>
      <c r="GY142" s="10"/>
      <c r="GZ142" s="10"/>
      <c r="HA142" s="10"/>
      <c r="HB142" s="10"/>
      <c r="HC142" s="10"/>
      <c r="HD142" s="10"/>
      <c r="HE142" s="10"/>
      <c r="HF142" s="10"/>
      <c r="HG142" s="10"/>
      <c r="HH142" s="10"/>
      <c r="HI142" s="10"/>
      <c r="HJ142" s="10"/>
      <c r="HK142" s="10"/>
      <c r="HL142" s="10"/>
      <c r="HM142" s="10"/>
      <c r="HN142" s="10"/>
      <c r="HO142" s="10"/>
      <c r="HP142" s="10"/>
      <c r="HQ142" s="10"/>
      <c r="HR142" s="10"/>
      <c r="HS142" s="10"/>
      <c r="HT142" s="10"/>
      <c r="HU142" s="10"/>
      <c r="HV142" s="10"/>
      <c r="HW142" s="10"/>
      <c r="HX142" s="10"/>
      <c r="HY142" s="10"/>
      <c r="HZ142" s="10"/>
      <c r="IA142" s="10"/>
      <c r="IB142" s="10"/>
      <c r="IC142" s="10"/>
      <c r="ID142" s="10"/>
      <c r="IE142" s="10"/>
      <c r="IF142" s="10"/>
      <c r="IG142" s="10"/>
      <c r="IH142" s="10"/>
      <c r="II142" s="10"/>
      <c r="IJ142" s="10"/>
      <c r="IK142" s="10"/>
      <c r="IL142" s="10"/>
      <c r="IM142" s="10"/>
      <c r="IN142" s="10"/>
      <c r="IO142" s="10"/>
      <c r="IP142" s="10"/>
      <c r="IQ142" s="10"/>
      <c r="IR142" s="10"/>
      <c r="IS142" s="10"/>
      <c r="IT142" s="10"/>
      <c r="IU142" s="10"/>
      <c r="IV142" s="10"/>
    </row>
    <row r="143" spans="1:256" s="11" customFormat="1" ht="25" x14ac:dyDescent="0.5">
      <c r="A143" s="158" t="s">
        <v>213</v>
      </c>
      <c r="B143" s="129"/>
      <c r="C143" s="134"/>
      <c r="D143" s="130"/>
      <c r="E143" s="124"/>
      <c r="F143" s="124"/>
      <c r="G143" s="124"/>
      <c r="H143" s="113"/>
      <c r="I143" s="113"/>
      <c r="J143" s="118"/>
      <c r="K143" s="129"/>
      <c r="L143" s="155"/>
      <c r="M143" s="10"/>
      <c r="N143" s="10"/>
      <c r="P143" s="10"/>
      <c r="Q143" s="10"/>
      <c r="R143" s="12"/>
      <c r="S143" s="12"/>
      <c r="T143" s="13"/>
      <c r="U143" s="14"/>
      <c r="V143" s="14"/>
      <c r="W143" s="13"/>
      <c r="X143" s="15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  <c r="AY143" s="10"/>
      <c r="AZ143" s="10"/>
      <c r="BA143" s="10"/>
      <c r="BB143" s="10"/>
      <c r="BC143" s="10"/>
      <c r="BD143" s="10"/>
      <c r="BE143" s="10"/>
      <c r="BF143" s="10"/>
      <c r="BG143" s="10"/>
      <c r="BH143" s="10"/>
      <c r="BI143" s="10"/>
      <c r="BJ143" s="10"/>
      <c r="BK143" s="10"/>
      <c r="BL143" s="10"/>
      <c r="BM143" s="10"/>
      <c r="BN143" s="10"/>
      <c r="BO143" s="10"/>
      <c r="BP143" s="10"/>
      <c r="BQ143" s="10"/>
      <c r="BR143" s="10"/>
      <c r="BS143" s="10"/>
      <c r="BT143" s="10"/>
      <c r="BU143" s="10"/>
      <c r="BV143" s="10"/>
      <c r="BW143" s="10"/>
      <c r="BX143" s="10"/>
      <c r="BY143" s="10"/>
      <c r="BZ143" s="10"/>
      <c r="CA143" s="10"/>
      <c r="CB143" s="10"/>
      <c r="CC143" s="10"/>
      <c r="CD143" s="10"/>
      <c r="CE143" s="10"/>
      <c r="CF143" s="10"/>
      <c r="CG143" s="10"/>
      <c r="CH143" s="10"/>
      <c r="CI143" s="10"/>
      <c r="CJ143" s="10"/>
      <c r="CK143" s="10"/>
      <c r="CL143" s="10"/>
      <c r="CM143" s="10"/>
      <c r="CN143" s="10"/>
      <c r="CO143" s="10"/>
      <c r="CP143" s="10"/>
      <c r="CQ143" s="10"/>
      <c r="CR143" s="10"/>
      <c r="CS143" s="10"/>
      <c r="CT143" s="10"/>
      <c r="CU143" s="10"/>
      <c r="CV143" s="10"/>
      <c r="CW143" s="10"/>
      <c r="CX143" s="10"/>
      <c r="CY143" s="10"/>
      <c r="CZ143" s="10"/>
      <c r="DA143" s="10"/>
      <c r="DB143" s="10"/>
      <c r="DC143" s="10"/>
      <c r="DD143" s="10"/>
      <c r="DE143" s="10"/>
      <c r="DF143" s="10"/>
      <c r="DG143" s="10"/>
      <c r="DH143" s="10"/>
      <c r="DI143" s="10"/>
      <c r="DJ143" s="10"/>
      <c r="DK143" s="10"/>
      <c r="DL143" s="10"/>
      <c r="DM143" s="10"/>
      <c r="DN143" s="10"/>
      <c r="DO143" s="10"/>
      <c r="DP143" s="10"/>
      <c r="DQ143" s="10"/>
      <c r="DR143" s="10"/>
      <c r="DS143" s="10"/>
      <c r="DT143" s="10"/>
      <c r="DU143" s="10"/>
      <c r="DV143" s="10"/>
      <c r="DW143" s="10"/>
      <c r="DX143" s="10"/>
      <c r="DY143" s="10"/>
      <c r="DZ143" s="10"/>
      <c r="EA143" s="10"/>
      <c r="EB143" s="10"/>
      <c r="EC143" s="10"/>
      <c r="ED143" s="10"/>
      <c r="EE143" s="10"/>
      <c r="EF143" s="10"/>
      <c r="EG143" s="10"/>
      <c r="EH143" s="10"/>
      <c r="EI143" s="10"/>
      <c r="EJ143" s="10"/>
      <c r="EK143" s="10"/>
      <c r="EL143" s="10"/>
      <c r="EM143" s="10"/>
      <c r="EN143" s="10"/>
      <c r="EO143" s="10"/>
      <c r="EP143" s="10"/>
      <c r="EQ143" s="10"/>
      <c r="ER143" s="10"/>
      <c r="ES143" s="10"/>
      <c r="ET143" s="10"/>
      <c r="EU143" s="10"/>
      <c r="EV143" s="10"/>
      <c r="EW143" s="10"/>
      <c r="EX143" s="10"/>
      <c r="EY143" s="10"/>
      <c r="EZ143" s="10"/>
      <c r="FA143" s="10"/>
      <c r="FB143" s="10"/>
      <c r="FC143" s="10"/>
      <c r="FD143" s="10"/>
      <c r="FE143" s="10"/>
      <c r="FF143" s="10"/>
      <c r="FG143" s="10"/>
      <c r="FH143" s="10"/>
      <c r="FI143" s="10"/>
      <c r="FJ143" s="10"/>
      <c r="FK143" s="10"/>
      <c r="FL143" s="10"/>
      <c r="FM143" s="10"/>
      <c r="FN143" s="10"/>
      <c r="FO143" s="10"/>
      <c r="FP143" s="10"/>
      <c r="FQ143" s="10"/>
      <c r="FR143" s="10"/>
      <c r="FS143" s="10"/>
      <c r="FT143" s="10"/>
      <c r="FU143" s="10"/>
      <c r="FV143" s="10"/>
      <c r="FW143" s="10"/>
      <c r="FX143" s="10"/>
      <c r="FY143" s="10"/>
      <c r="FZ143" s="10"/>
      <c r="GA143" s="10"/>
      <c r="GB143" s="10"/>
      <c r="GC143" s="10"/>
      <c r="GD143" s="10"/>
      <c r="GE143" s="10"/>
      <c r="GF143" s="10"/>
      <c r="GG143" s="10"/>
      <c r="GH143" s="10"/>
      <c r="GI143" s="10"/>
      <c r="GJ143" s="10"/>
      <c r="GK143" s="10"/>
      <c r="GL143" s="10"/>
      <c r="GM143" s="10"/>
      <c r="GN143" s="10"/>
      <c r="GO143" s="10"/>
      <c r="GP143" s="10"/>
      <c r="GQ143" s="10"/>
      <c r="GR143" s="10"/>
      <c r="GS143" s="10"/>
      <c r="GT143" s="10"/>
      <c r="GU143" s="10"/>
      <c r="GV143" s="10"/>
      <c r="GW143" s="10"/>
      <c r="GX143" s="10"/>
      <c r="GY143" s="10"/>
      <c r="GZ143" s="10"/>
      <c r="HA143" s="10"/>
      <c r="HB143" s="10"/>
      <c r="HC143" s="10"/>
      <c r="HD143" s="10"/>
      <c r="HE143" s="10"/>
      <c r="HF143" s="10"/>
      <c r="HG143" s="10"/>
      <c r="HH143" s="10"/>
      <c r="HI143" s="10"/>
      <c r="HJ143" s="10"/>
      <c r="HK143" s="10"/>
      <c r="HL143" s="10"/>
      <c r="HM143" s="10"/>
      <c r="HN143" s="10"/>
      <c r="HO143" s="10"/>
      <c r="HP143" s="10"/>
      <c r="HQ143" s="10"/>
      <c r="HR143" s="10"/>
      <c r="HS143" s="10"/>
      <c r="HT143" s="10"/>
      <c r="HU143" s="10"/>
      <c r="HV143" s="10"/>
      <c r="HW143" s="10"/>
      <c r="HX143" s="10"/>
      <c r="HY143" s="10"/>
      <c r="HZ143" s="10"/>
      <c r="IA143" s="10"/>
      <c r="IB143" s="10"/>
      <c r="IC143" s="10"/>
      <c r="ID143" s="10"/>
      <c r="IE143" s="10"/>
      <c r="IF143" s="10"/>
      <c r="IG143" s="10"/>
      <c r="IH143" s="10"/>
      <c r="II143" s="10"/>
      <c r="IJ143" s="10"/>
      <c r="IK143" s="10"/>
      <c r="IL143" s="10"/>
      <c r="IM143" s="10"/>
      <c r="IN143" s="10"/>
      <c r="IO143" s="10"/>
      <c r="IP143" s="10"/>
      <c r="IQ143" s="10"/>
      <c r="IR143" s="10"/>
      <c r="IS143" s="10"/>
      <c r="IT143" s="10"/>
      <c r="IU143" s="10"/>
      <c r="IV143" s="10"/>
    </row>
    <row r="144" spans="1:256" s="11" customFormat="1" ht="25" x14ac:dyDescent="0.5">
      <c r="A144" s="158" t="s">
        <v>214</v>
      </c>
      <c r="B144" s="129"/>
      <c r="C144" s="134"/>
      <c r="D144" s="130"/>
      <c r="E144" s="124"/>
      <c r="F144" s="124"/>
      <c r="G144" s="124"/>
      <c r="H144" s="113"/>
      <c r="I144" s="159"/>
      <c r="J144" s="118"/>
      <c r="K144" s="129"/>
      <c r="L144" s="155"/>
      <c r="M144" s="10"/>
      <c r="N144" s="10"/>
      <c r="P144" s="10"/>
      <c r="Q144" s="10"/>
      <c r="R144" s="12"/>
      <c r="S144" s="12"/>
      <c r="T144" s="13"/>
      <c r="U144" s="14"/>
      <c r="V144" s="14"/>
      <c r="W144" s="13"/>
      <c r="X144" s="15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  <c r="AY144" s="10"/>
      <c r="AZ144" s="10"/>
      <c r="BA144" s="10"/>
      <c r="BB144" s="10"/>
      <c r="BC144" s="10"/>
      <c r="BD144" s="10"/>
      <c r="BE144" s="10"/>
      <c r="BF144" s="10"/>
      <c r="BG144" s="10"/>
      <c r="BH144" s="10"/>
      <c r="BI144" s="10"/>
      <c r="BJ144" s="10"/>
      <c r="BK144" s="10"/>
      <c r="BL144" s="10"/>
      <c r="BM144" s="10"/>
      <c r="BN144" s="10"/>
      <c r="BO144" s="10"/>
      <c r="BP144" s="10"/>
      <c r="BQ144" s="10"/>
      <c r="BR144" s="10"/>
      <c r="BS144" s="10"/>
      <c r="BT144" s="10"/>
      <c r="BU144" s="10"/>
      <c r="BV144" s="10"/>
      <c r="BW144" s="10"/>
      <c r="BX144" s="10"/>
      <c r="BY144" s="10"/>
      <c r="BZ144" s="10"/>
      <c r="CA144" s="10"/>
      <c r="CB144" s="10"/>
      <c r="CC144" s="10"/>
      <c r="CD144" s="10"/>
      <c r="CE144" s="10"/>
      <c r="CF144" s="10"/>
      <c r="CG144" s="10"/>
      <c r="CH144" s="10"/>
      <c r="CI144" s="10"/>
      <c r="CJ144" s="10"/>
      <c r="CK144" s="10"/>
      <c r="CL144" s="10"/>
      <c r="CM144" s="10"/>
      <c r="CN144" s="10"/>
      <c r="CO144" s="10"/>
      <c r="CP144" s="10"/>
      <c r="CQ144" s="10"/>
      <c r="CR144" s="10"/>
      <c r="CS144" s="10"/>
      <c r="CT144" s="10"/>
      <c r="CU144" s="10"/>
      <c r="CV144" s="10"/>
      <c r="CW144" s="10"/>
      <c r="CX144" s="10"/>
      <c r="CY144" s="10"/>
      <c r="CZ144" s="10"/>
      <c r="DA144" s="10"/>
      <c r="DB144" s="10"/>
      <c r="DC144" s="10"/>
      <c r="DD144" s="10"/>
      <c r="DE144" s="10"/>
      <c r="DF144" s="10"/>
      <c r="DG144" s="10"/>
      <c r="DH144" s="10"/>
      <c r="DI144" s="10"/>
      <c r="DJ144" s="10"/>
      <c r="DK144" s="10"/>
      <c r="DL144" s="10"/>
      <c r="DM144" s="10"/>
      <c r="DN144" s="10"/>
      <c r="DO144" s="10"/>
      <c r="DP144" s="10"/>
      <c r="DQ144" s="10"/>
      <c r="DR144" s="10"/>
      <c r="DS144" s="10"/>
      <c r="DT144" s="10"/>
      <c r="DU144" s="10"/>
      <c r="DV144" s="10"/>
      <c r="DW144" s="10"/>
      <c r="DX144" s="10"/>
      <c r="DY144" s="10"/>
      <c r="DZ144" s="10"/>
      <c r="EA144" s="10"/>
      <c r="EB144" s="10"/>
      <c r="EC144" s="10"/>
      <c r="ED144" s="10"/>
      <c r="EE144" s="10"/>
      <c r="EF144" s="10"/>
      <c r="EG144" s="10"/>
      <c r="EH144" s="10"/>
      <c r="EI144" s="10"/>
      <c r="EJ144" s="10"/>
      <c r="EK144" s="10"/>
      <c r="EL144" s="10"/>
      <c r="EM144" s="10"/>
      <c r="EN144" s="10"/>
      <c r="EO144" s="10"/>
      <c r="EP144" s="10"/>
      <c r="EQ144" s="10"/>
      <c r="ER144" s="10"/>
      <c r="ES144" s="10"/>
      <c r="ET144" s="10"/>
      <c r="EU144" s="10"/>
      <c r="EV144" s="10"/>
      <c r="EW144" s="10"/>
      <c r="EX144" s="10"/>
      <c r="EY144" s="10"/>
      <c r="EZ144" s="10"/>
      <c r="FA144" s="10"/>
      <c r="FB144" s="10"/>
      <c r="FC144" s="10"/>
      <c r="FD144" s="10"/>
      <c r="FE144" s="10"/>
      <c r="FF144" s="10"/>
      <c r="FG144" s="10"/>
      <c r="FH144" s="10"/>
      <c r="FI144" s="10"/>
      <c r="FJ144" s="10"/>
      <c r="FK144" s="10"/>
      <c r="FL144" s="10"/>
      <c r="FM144" s="10"/>
      <c r="FN144" s="10"/>
      <c r="FO144" s="10"/>
      <c r="FP144" s="10"/>
      <c r="FQ144" s="10"/>
      <c r="FR144" s="10"/>
      <c r="FS144" s="10"/>
      <c r="FT144" s="10"/>
      <c r="FU144" s="10"/>
      <c r="FV144" s="10"/>
      <c r="FW144" s="10"/>
      <c r="FX144" s="10"/>
      <c r="FY144" s="10"/>
      <c r="FZ144" s="10"/>
      <c r="GA144" s="10"/>
      <c r="GB144" s="10"/>
      <c r="GC144" s="10"/>
      <c r="GD144" s="10"/>
      <c r="GE144" s="10"/>
      <c r="GF144" s="10"/>
      <c r="GG144" s="10"/>
      <c r="GH144" s="10"/>
      <c r="GI144" s="10"/>
      <c r="GJ144" s="10"/>
      <c r="GK144" s="10"/>
      <c r="GL144" s="10"/>
      <c r="GM144" s="10"/>
      <c r="GN144" s="10"/>
      <c r="GO144" s="10"/>
      <c r="GP144" s="10"/>
      <c r="GQ144" s="10"/>
      <c r="GR144" s="10"/>
      <c r="GS144" s="10"/>
      <c r="GT144" s="10"/>
      <c r="GU144" s="10"/>
      <c r="GV144" s="10"/>
      <c r="GW144" s="10"/>
      <c r="GX144" s="10"/>
      <c r="GY144" s="10"/>
      <c r="GZ144" s="10"/>
      <c r="HA144" s="10"/>
      <c r="HB144" s="10"/>
      <c r="HC144" s="10"/>
      <c r="HD144" s="10"/>
      <c r="HE144" s="10"/>
      <c r="HF144" s="10"/>
      <c r="HG144" s="10"/>
      <c r="HH144" s="10"/>
      <c r="HI144" s="10"/>
      <c r="HJ144" s="10"/>
      <c r="HK144" s="10"/>
      <c r="HL144" s="10"/>
      <c r="HM144" s="10"/>
      <c r="HN144" s="10"/>
      <c r="HO144" s="10"/>
      <c r="HP144" s="10"/>
      <c r="HQ144" s="10"/>
      <c r="HR144" s="10"/>
      <c r="HS144" s="10"/>
      <c r="HT144" s="10"/>
      <c r="HU144" s="10"/>
      <c r="HV144" s="10"/>
      <c r="HW144" s="10"/>
      <c r="HX144" s="10"/>
      <c r="HY144" s="10"/>
      <c r="HZ144" s="10"/>
      <c r="IA144" s="10"/>
      <c r="IB144" s="10"/>
      <c r="IC144" s="10"/>
      <c r="ID144" s="10"/>
      <c r="IE144" s="10"/>
      <c r="IF144" s="10"/>
      <c r="IG144" s="10"/>
      <c r="IH144" s="10"/>
      <c r="II144" s="10"/>
      <c r="IJ144" s="10"/>
      <c r="IK144" s="10"/>
      <c r="IL144" s="10"/>
      <c r="IM144" s="10"/>
      <c r="IN144" s="10"/>
      <c r="IO144" s="10"/>
      <c r="IP144" s="10"/>
      <c r="IQ144" s="10"/>
      <c r="IR144" s="10"/>
      <c r="IS144" s="10"/>
      <c r="IT144" s="10"/>
      <c r="IU144" s="10"/>
      <c r="IV144" s="10"/>
    </row>
    <row r="145" spans="1:256" s="11" customFormat="1" ht="25" x14ac:dyDescent="0.5">
      <c r="A145" s="158" t="s">
        <v>215</v>
      </c>
      <c r="B145" s="129"/>
      <c r="C145" s="134"/>
      <c r="D145" s="130"/>
      <c r="E145" s="124"/>
      <c r="F145" s="124"/>
      <c r="G145" s="124"/>
      <c r="H145" s="113"/>
      <c r="I145" s="159"/>
      <c r="J145" s="118"/>
      <c r="K145" s="129"/>
      <c r="L145" s="155"/>
      <c r="M145" s="10"/>
      <c r="N145" s="10"/>
      <c r="P145" s="10"/>
      <c r="Q145" s="10"/>
      <c r="R145" s="12"/>
      <c r="S145" s="12"/>
      <c r="T145" s="13"/>
      <c r="U145" s="14"/>
      <c r="V145" s="14"/>
      <c r="W145" s="13"/>
      <c r="X145" s="15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  <c r="AY145" s="10"/>
      <c r="AZ145" s="10"/>
      <c r="BA145" s="10"/>
      <c r="BB145" s="10"/>
      <c r="BC145" s="10"/>
      <c r="BD145" s="10"/>
      <c r="BE145" s="10"/>
      <c r="BF145" s="10"/>
      <c r="BG145" s="10"/>
      <c r="BH145" s="10"/>
      <c r="BI145" s="10"/>
      <c r="BJ145" s="10"/>
      <c r="BK145" s="10"/>
      <c r="BL145" s="10"/>
      <c r="BM145" s="10"/>
      <c r="BN145" s="10"/>
      <c r="BO145" s="10"/>
      <c r="BP145" s="10"/>
      <c r="BQ145" s="10"/>
      <c r="BR145" s="10"/>
      <c r="BS145" s="10"/>
      <c r="BT145" s="10"/>
      <c r="BU145" s="10"/>
      <c r="BV145" s="10"/>
      <c r="BW145" s="10"/>
      <c r="BX145" s="10"/>
      <c r="BY145" s="10"/>
      <c r="BZ145" s="10"/>
      <c r="CA145" s="10"/>
      <c r="CB145" s="10"/>
      <c r="CC145" s="10"/>
      <c r="CD145" s="10"/>
      <c r="CE145" s="10"/>
      <c r="CF145" s="10"/>
      <c r="CG145" s="10"/>
      <c r="CH145" s="10"/>
      <c r="CI145" s="10"/>
      <c r="CJ145" s="10"/>
      <c r="CK145" s="10"/>
      <c r="CL145" s="10"/>
      <c r="CM145" s="10"/>
      <c r="CN145" s="10"/>
      <c r="CO145" s="10"/>
      <c r="CP145" s="10"/>
      <c r="CQ145" s="10"/>
      <c r="CR145" s="10"/>
      <c r="CS145" s="10"/>
      <c r="CT145" s="10"/>
      <c r="CU145" s="10"/>
      <c r="CV145" s="10"/>
      <c r="CW145" s="10"/>
      <c r="CX145" s="10"/>
      <c r="CY145" s="10"/>
      <c r="CZ145" s="10"/>
      <c r="DA145" s="10"/>
      <c r="DB145" s="10"/>
      <c r="DC145" s="10"/>
      <c r="DD145" s="10"/>
      <c r="DE145" s="10"/>
      <c r="DF145" s="10"/>
      <c r="DG145" s="10"/>
      <c r="DH145" s="10"/>
      <c r="DI145" s="10"/>
      <c r="DJ145" s="10"/>
      <c r="DK145" s="10"/>
      <c r="DL145" s="10"/>
      <c r="DM145" s="10"/>
      <c r="DN145" s="10"/>
      <c r="DO145" s="10"/>
      <c r="DP145" s="10"/>
      <c r="DQ145" s="10"/>
      <c r="DR145" s="10"/>
      <c r="DS145" s="10"/>
      <c r="DT145" s="10"/>
      <c r="DU145" s="10"/>
      <c r="DV145" s="10"/>
      <c r="DW145" s="10"/>
      <c r="DX145" s="10"/>
      <c r="DY145" s="10"/>
      <c r="DZ145" s="10"/>
      <c r="EA145" s="10"/>
      <c r="EB145" s="10"/>
      <c r="EC145" s="10"/>
      <c r="ED145" s="10"/>
      <c r="EE145" s="10"/>
      <c r="EF145" s="10"/>
      <c r="EG145" s="10"/>
      <c r="EH145" s="10"/>
      <c r="EI145" s="10"/>
      <c r="EJ145" s="10"/>
      <c r="EK145" s="10"/>
      <c r="EL145" s="10"/>
      <c r="EM145" s="10"/>
      <c r="EN145" s="10"/>
      <c r="EO145" s="10"/>
      <c r="EP145" s="10"/>
      <c r="EQ145" s="10"/>
      <c r="ER145" s="10"/>
      <c r="ES145" s="10"/>
      <c r="ET145" s="10"/>
      <c r="EU145" s="10"/>
      <c r="EV145" s="10"/>
      <c r="EW145" s="10"/>
      <c r="EX145" s="10"/>
      <c r="EY145" s="10"/>
      <c r="EZ145" s="10"/>
      <c r="FA145" s="10"/>
      <c r="FB145" s="10"/>
      <c r="FC145" s="10"/>
      <c r="FD145" s="10"/>
      <c r="FE145" s="10"/>
      <c r="FF145" s="10"/>
      <c r="FG145" s="10"/>
      <c r="FH145" s="10"/>
      <c r="FI145" s="10"/>
      <c r="FJ145" s="10"/>
      <c r="FK145" s="10"/>
      <c r="FL145" s="10"/>
      <c r="FM145" s="10"/>
      <c r="FN145" s="10"/>
      <c r="FO145" s="10"/>
      <c r="FP145" s="10"/>
      <c r="FQ145" s="10"/>
      <c r="FR145" s="10"/>
      <c r="FS145" s="10"/>
      <c r="FT145" s="10"/>
      <c r="FU145" s="10"/>
      <c r="FV145" s="10"/>
      <c r="FW145" s="10"/>
      <c r="FX145" s="10"/>
      <c r="FY145" s="10"/>
      <c r="FZ145" s="10"/>
      <c r="GA145" s="10"/>
      <c r="GB145" s="10"/>
      <c r="GC145" s="10"/>
      <c r="GD145" s="10"/>
      <c r="GE145" s="10"/>
      <c r="GF145" s="10"/>
      <c r="GG145" s="10"/>
      <c r="GH145" s="10"/>
      <c r="GI145" s="10"/>
      <c r="GJ145" s="10"/>
      <c r="GK145" s="10"/>
      <c r="GL145" s="10"/>
      <c r="GM145" s="10"/>
      <c r="GN145" s="10"/>
      <c r="GO145" s="10"/>
      <c r="GP145" s="10"/>
      <c r="GQ145" s="10"/>
      <c r="GR145" s="10"/>
      <c r="GS145" s="10"/>
      <c r="GT145" s="10"/>
      <c r="GU145" s="10"/>
      <c r="GV145" s="10"/>
      <c r="GW145" s="10"/>
      <c r="GX145" s="10"/>
      <c r="GY145" s="10"/>
      <c r="GZ145" s="10"/>
      <c r="HA145" s="10"/>
      <c r="HB145" s="10"/>
      <c r="HC145" s="10"/>
      <c r="HD145" s="10"/>
      <c r="HE145" s="10"/>
      <c r="HF145" s="10"/>
      <c r="HG145" s="10"/>
      <c r="HH145" s="10"/>
      <c r="HI145" s="10"/>
      <c r="HJ145" s="10"/>
      <c r="HK145" s="10"/>
      <c r="HL145" s="10"/>
      <c r="HM145" s="10"/>
      <c r="HN145" s="10"/>
      <c r="HO145" s="10"/>
      <c r="HP145" s="10"/>
      <c r="HQ145" s="10"/>
      <c r="HR145" s="10"/>
      <c r="HS145" s="10"/>
      <c r="HT145" s="10"/>
      <c r="HU145" s="10"/>
      <c r="HV145" s="10"/>
      <c r="HW145" s="10"/>
      <c r="HX145" s="10"/>
      <c r="HY145" s="10"/>
      <c r="HZ145" s="10"/>
      <c r="IA145" s="10"/>
      <c r="IB145" s="10"/>
      <c r="IC145" s="10"/>
      <c r="ID145" s="10"/>
      <c r="IE145" s="10"/>
      <c r="IF145" s="10"/>
      <c r="IG145" s="10"/>
      <c r="IH145" s="10"/>
      <c r="II145" s="10"/>
      <c r="IJ145" s="10"/>
      <c r="IK145" s="10"/>
      <c r="IL145" s="10"/>
      <c r="IM145" s="10"/>
      <c r="IN145" s="10"/>
      <c r="IO145" s="10"/>
      <c r="IP145" s="10"/>
      <c r="IQ145" s="10"/>
      <c r="IR145" s="10"/>
      <c r="IS145" s="10"/>
      <c r="IT145" s="10"/>
      <c r="IU145" s="10"/>
      <c r="IV145" s="10"/>
    </row>
    <row r="146" spans="1:256" s="11" customFormat="1" ht="25" x14ac:dyDescent="0.5">
      <c r="A146" s="158" t="s">
        <v>216</v>
      </c>
      <c r="B146" s="129"/>
      <c r="C146" s="134"/>
      <c r="D146" s="130"/>
      <c r="E146" s="124"/>
      <c r="F146" s="124"/>
      <c r="G146" s="124"/>
      <c r="H146" s="113"/>
      <c r="I146" s="159"/>
      <c r="J146" s="118"/>
      <c r="K146" s="129"/>
      <c r="L146" s="155"/>
      <c r="M146" s="10"/>
      <c r="N146" s="10"/>
      <c r="P146" s="10"/>
      <c r="Q146" s="10"/>
      <c r="R146" s="12"/>
      <c r="S146" s="12"/>
      <c r="T146" s="13"/>
      <c r="U146" s="14"/>
      <c r="V146" s="14"/>
      <c r="W146" s="13"/>
      <c r="X146" s="15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  <c r="AY146" s="10"/>
      <c r="AZ146" s="10"/>
      <c r="BA146" s="10"/>
      <c r="BB146" s="10"/>
      <c r="BC146" s="10"/>
      <c r="BD146" s="10"/>
      <c r="BE146" s="10"/>
      <c r="BF146" s="10"/>
      <c r="BG146" s="10"/>
      <c r="BH146" s="10"/>
      <c r="BI146" s="10"/>
      <c r="BJ146" s="10"/>
      <c r="BK146" s="10"/>
      <c r="BL146" s="10"/>
      <c r="BM146" s="10"/>
      <c r="BN146" s="10"/>
      <c r="BO146" s="10"/>
      <c r="BP146" s="10"/>
      <c r="BQ146" s="10"/>
      <c r="BR146" s="10"/>
      <c r="BS146" s="10"/>
      <c r="BT146" s="10"/>
      <c r="BU146" s="10"/>
      <c r="BV146" s="10"/>
      <c r="BW146" s="10"/>
      <c r="BX146" s="10"/>
      <c r="BY146" s="10"/>
      <c r="BZ146" s="10"/>
      <c r="CA146" s="10"/>
      <c r="CB146" s="10"/>
      <c r="CC146" s="10"/>
      <c r="CD146" s="10"/>
      <c r="CE146" s="10"/>
      <c r="CF146" s="10"/>
      <c r="CG146" s="10"/>
      <c r="CH146" s="10"/>
      <c r="CI146" s="10"/>
      <c r="CJ146" s="10"/>
      <c r="CK146" s="10"/>
      <c r="CL146" s="10"/>
      <c r="CM146" s="10"/>
      <c r="CN146" s="10"/>
      <c r="CO146" s="10"/>
      <c r="CP146" s="10"/>
      <c r="CQ146" s="10"/>
      <c r="CR146" s="10"/>
      <c r="CS146" s="10"/>
      <c r="CT146" s="10"/>
      <c r="CU146" s="10"/>
      <c r="CV146" s="10"/>
      <c r="CW146" s="10"/>
      <c r="CX146" s="10"/>
      <c r="CY146" s="10"/>
      <c r="CZ146" s="10"/>
      <c r="DA146" s="10"/>
      <c r="DB146" s="10"/>
      <c r="DC146" s="10"/>
      <c r="DD146" s="10"/>
      <c r="DE146" s="10"/>
      <c r="DF146" s="10"/>
      <c r="DG146" s="10"/>
      <c r="DH146" s="10"/>
      <c r="DI146" s="10"/>
      <c r="DJ146" s="10"/>
      <c r="DK146" s="10"/>
      <c r="DL146" s="10"/>
      <c r="DM146" s="10"/>
      <c r="DN146" s="10"/>
      <c r="DO146" s="10"/>
      <c r="DP146" s="10"/>
      <c r="DQ146" s="10"/>
      <c r="DR146" s="10"/>
      <c r="DS146" s="10"/>
      <c r="DT146" s="10"/>
      <c r="DU146" s="10"/>
      <c r="DV146" s="10"/>
      <c r="DW146" s="10"/>
      <c r="DX146" s="10"/>
      <c r="DY146" s="10"/>
      <c r="DZ146" s="10"/>
      <c r="EA146" s="10"/>
      <c r="EB146" s="10"/>
      <c r="EC146" s="10"/>
      <c r="ED146" s="10"/>
      <c r="EE146" s="10"/>
      <c r="EF146" s="10"/>
      <c r="EG146" s="10"/>
      <c r="EH146" s="10"/>
      <c r="EI146" s="10"/>
      <c r="EJ146" s="10"/>
      <c r="EK146" s="10"/>
      <c r="EL146" s="10"/>
      <c r="EM146" s="10"/>
      <c r="EN146" s="10"/>
      <c r="EO146" s="10"/>
      <c r="EP146" s="10"/>
      <c r="EQ146" s="10"/>
      <c r="ER146" s="10"/>
      <c r="ES146" s="10"/>
      <c r="ET146" s="10"/>
      <c r="EU146" s="10"/>
      <c r="EV146" s="10"/>
      <c r="EW146" s="10"/>
      <c r="EX146" s="10"/>
      <c r="EY146" s="10"/>
      <c r="EZ146" s="10"/>
      <c r="FA146" s="10"/>
      <c r="FB146" s="10"/>
      <c r="FC146" s="10"/>
      <c r="FD146" s="10"/>
      <c r="FE146" s="10"/>
      <c r="FF146" s="10"/>
      <c r="FG146" s="10"/>
      <c r="FH146" s="10"/>
      <c r="FI146" s="10"/>
      <c r="FJ146" s="10"/>
      <c r="FK146" s="10"/>
      <c r="FL146" s="10"/>
      <c r="FM146" s="10"/>
      <c r="FN146" s="10"/>
      <c r="FO146" s="10"/>
      <c r="FP146" s="10"/>
      <c r="FQ146" s="10"/>
      <c r="FR146" s="10"/>
      <c r="FS146" s="10"/>
      <c r="FT146" s="10"/>
      <c r="FU146" s="10"/>
      <c r="FV146" s="10"/>
      <c r="FW146" s="10"/>
      <c r="FX146" s="10"/>
      <c r="FY146" s="10"/>
      <c r="FZ146" s="10"/>
      <c r="GA146" s="10"/>
      <c r="GB146" s="10"/>
      <c r="GC146" s="10"/>
      <c r="GD146" s="10"/>
      <c r="GE146" s="10"/>
      <c r="GF146" s="10"/>
      <c r="GG146" s="10"/>
      <c r="GH146" s="10"/>
      <c r="GI146" s="10"/>
      <c r="GJ146" s="10"/>
      <c r="GK146" s="10"/>
      <c r="GL146" s="10"/>
      <c r="GM146" s="10"/>
      <c r="GN146" s="10"/>
      <c r="GO146" s="10"/>
      <c r="GP146" s="10"/>
      <c r="GQ146" s="10"/>
      <c r="GR146" s="10"/>
      <c r="GS146" s="10"/>
      <c r="GT146" s="10"/>
      <c r="GU146" s="10"/>
      <c r="GV146" s="10"/>
      <c r="GW146" s="10"/>
      <c r="GX146" s="10"/>
      <c r="GY146" s="10"/>
      <c r="GZ146" s="10"/>
      <c r="HA146" s="10"/>
      <c r="HB146" s="10"/>
      <c r="HC146" s="10"/>
      <c r="HD146" s="10"/>
      <c r="HE146" s="10"/>
      <c r="HF146" s="10"/>
      <c r="HG146" s="10"/>
      <c r="HH146" s="10"/>
      <c r="HI146" s="10"/>
      <c r="HJ146" s="10"/>
      <c r="HK146" s="10"/>
      <c r="HL146" s="10"/>
      <c r="HM146" s="10"/>
      <c r="HN146" s="10"/>
      <c r="HO146" s="10"/>
      <c r="HP146" s="10"/>
      <c r="HQ146" s="10"/>
      <c r="HR146" s="10"/>
      <c r="HS146" s="10"/>
      <c r="HT146" s="10"/>
      <c r="HU146" s="10"/>
      <c r="HV146" s="10"/>
      <c r="HW146" s="10"/>
      <c r="HX146" s="10"/>
      <c r="HY146" s="10"/>
      <c r="HZ146" s="10"/>
      <c r="IA146" s="10"/>
      <c r="IB146" s="10"/>
      <c r="IC146" s="10"/>
      <c r="ID146" s="10"/>
      <c r="IE146" s="10"/>
      <c r="IF146" s="10"/>
      <c r="IG146" s="10"/>
      <c r="IH146" s="10"/>
      <c r="II146" s="10"/>
      <c r="IJ146" s="10"/>
      <c r="IK146" s="10"/>
      <c r="IL146" s="10"/>
      <c r="IM146" s="10"/>
      <c r="IN146" s="10"/>
      <c r="IO146" s="10"/>
      <c r="IP146" s="10"/>
      <c r="IQ146" s="10"/>
      <c r="IR146" s="10"/>
      <c r="IS146" s="10"/>
      <c r="IT146" s="10"/>
      <c r="IU146" s="10"/>
      <c r="IV146" s="10"/>
    </row>
    <row r="147" spans="1:256" ht="23" x14ac:dyDescent="0.5">
      <c r="A147" s="158" t="s">
        <v>217</v>
      </c>
      <c r="B147" s="129"/>
      <c r="C147" s="158" t="s">
        <v>218</v>
      </c>
      <c r="D147" s="130"/>
      <c r="E147" s="124"/>
      <c r="F147" s="124"/>
      <c r="G147" s="124"/>
      <c r="H147" s="113"/>
      <c r="I147" s="159"/>
      <c r="J147" s="118"/>
      <c r="K147" s="129"/>
      <c r="L147" s="155"/>
    </row>
    <row r="148" spans="1:256" x14ac:dyDescent="0.4">
      <c r="A148" s="160" t="s">
        <v>219</v>
      </c>
      <c r="B148" s="159"/>
      <c r="C148" s="161"/>
      <c r="D148" s="162"/>
      <c r="E148" s="118"/>
      <c r="F148" s="118"/>
      <c r="G148" s="118"/>
      <c r="H148" s="118"/>
      <c r="I148" s="159"/>
      <c r="J148" s="118"/>
      <c r="K148" s="129"/>
      <c r="L148" s="155"/>
    </row>
    <row r="149" spans="1:256" ht="23" x14ac:dyDescent="0.5">
      <c r="A149" s="160" t="s">
        <v>220</v>
      </c>
      <c r="B149" s="159"/>
      <c r="C149" s="161"/>
      <c r="D149" s="162"/>
      <c r="E149" s="118"/>
      <c r="F149" s="118"/>
      <c r="G149" s="118"/>
      <c r="H149" s="118"/>
      <c r="I149" s="159"/>
      <c r="J149" s="113"/>
      <c r="K149" s="129"/>
      <c r="L149" s="155"/>
    </row>
    <row r="150" spans="1:256" ht="25" x14ac:dyDescent="0.5">
      <c r="A150" s="163"/>
      <c r="B150" s="164"/>
      <c r="C150" s="165"/>
      <c r="D150" s="142"/>
      <c r="E150" s="141"/>
      <c r="F150" s="141"/>
      <c r="G150" s="141"/>
      <c r="H150" s="113"/>
      <c r="I150" s="164"/>
      <c r="J150" s="113"/>
      <c r="K150" s="129"/>
      <c r="L150" s="155"/>
    </row>
    <row r="151" spans="1:256" ht="23" x14ac:dyDescent="0.5">
      <c r="A151" s="166"/>
      <c r="B151"/>
      <c r="C151" s="167"/>
      <c r="D151"/>
      <c r="E151" s="168" t="s">
        <v>221</v>
      </c>
      <c r="F151" s="168"/>
      <c r="G151" s="168"/>
      <c r="H151" s="169"/>
      <c r="I151" s="164"/>
      <c r="J151" s="113"/>
      <c r="K151" s="129"/>
      <c r="L151" s="155"/>
    </row>
    <row r="152" spans="1:256" ht="23" x14ac:dyDescent="0.5">
      <c r="A152" s="166"/>
      <c r="B152"/>
      <c r="C152" s="167"/>
      <c r="D152"/>
      <c r="E152" s="168" t="s">
        <v>222</v>
      </c>
      <c r="F152" s="168"/>
      <c r="G152" s="168"/>
      <c r="H152" s="170"/>
      <c r="I152" s="170"/>
      <c r="J152" s="113"/>
      <c r="K152" s="129"/>
      <c r="L152" s="155"/>
    </row>
    <row r="153" spans="1:256" ht="25.5" thickBot="1" x14ac:dyDescent="0.55000000000000004">
      <c r="A153" s="171"/>
      <c r="B153" s="172"/>
      <c r="C153" s="173"/>
      <c r="D153" s="174"/>
      <c r="E153" s="175" t="s">
        <v>223</v>
      </c>
      <c r="F153" s="175"/>
      <c r="G153" s="175"/>
      <c r="H153" s="172"/>
      <c r="I153" s="172"/>
      <c r="J153" s="176"/>
      <c r="K153" s="177"/>
      <c r="L153" s="178"/>
    </row>
    <row r="154" spans="1:256" ht="25.5" thickBot="1" x14ac:dyDescent="0.55000000000000004">
      <c r="A154" s="171"/>
      <c r="B154" s="172"/>
      <c r="C154" s="173"/>
      <c r="D154" s="174"/>
      <c r="E154" s="175"/>
      <c r="F154" s="175"/>
      <c r="G154" s="175"/>
      <c r="H154" s="172"/>
      <c r="I154" s="172"/>
      <c r="J154" s="176"/>
      <c r="K154" s="177"/>
      <c r="L154" s="178"/>
    </row>
    <row r="155" spans="1:256" ht="30" x14ac:dyDescent="0.8">
      <c r="A155" s="319" t="s">
        <v>224</v>
      </c>
      <c r="B155" s="320"/>
      <c r="C155" s="320"/>
      <c r="D155" s="320"/>
      <c r="E155" s="320"/>
      <c r="F155" s="320"/>
      <c r="G155" s="320"/>
      <c r="H155" s="320"/>
      <c r="I155" s="320"/>
      <c r="J155" s="320"/>
      <c r="K155" s="320"/>
      <c r="L155" s="321"/>
    </row>
    <row r="156" spans="1:256" ht="30" x14ac:dyDescent="0.8">
      <c r="A156" s="322" t="s">
        <v>225</v>
      </c>
      <c r="B156" s="323"/>
      <c r="C156" s="323"/>
      <c r="D156" s="323"/>
      <c r="E156" s="323"/>
      <c r="F156" s="323"/>
      <c r="G156" s="323"/>
      <c r="H156" s="323"/>
      <c r="I156" s="323"/>
      <c r="J156" s="323"/>
      <c r="K156" s="323"/>
      <c r="L156" s="324"/>
    </row>
    <row r="157" spans="1:256" s="183" customFormat="1" ht="27.5" x14ac:dyDescent="0.75">
      <c r="A157" s="179"/>
      <c r="B157" s="180" t="s">
        <v>226</v>
      </c>
      <c r="C157" s="180" t="s">
        <v>227</v>
      </c>
      <c r="D157" s="181" t="s">
        <v>228</v>
      </c>
      <c r="E157" s="180" t="s">
        <v>229</v>
      </c>
      <c r="F157" s="180"/>
      <c r="G157" s="180"/>
      <c r="H157" s="180"/>
      <c r="I157" s="180"/>
      <c r="J157" s="180"/>
      <c r="K157" s="180" t="s">
        <v>230</v>
      </c>
      <c r="L157" s="182"/>
      <c r="O157" s="184"/>
      <c r="R157" s="185"/>
      <c r="S157" s="185"/>
      <c r="T157" s="186"/>
      <c r="U157" s="187"/>
      <c r="V157" s="187"/>
      <c r="W157" s="186"/>
      <c r="X157" s="188"/>
    </row>
    <row r="158" spans="1:256" s="183" customFormat="1" ht="28" x14ac:dyDescent="0.35">
      <c r="A158" s="189"/>
      <c r="B158" s="190"/>
      <c r="C158" s="190"/>
      <c r="D158" s="191"/>
      <c r="E158" s="192"/>
      <c r="F158" s="192"/>
      <c r="G158" s="192"/>
      <c r="H158" s="193"/>
      <c r="I158" s="191"/>
      <c r="J158" s="191"/>
      <c r="K158" s="191"/>
      <c r="L158" s="194"/>
      <c r="O158" s="184"/>
      <c r="R158" s="185"/>
      <c r="S158" s="185"/>
      <c r="T158" s="186"/>
      <c r="U158" s="187"/>
      <c r="V158" s="187"/>
      <c r="W158" s="186"/>
      <c r="X158" s="188"/>
    </row>
    <row r="159" spans="1:256" ht="30" x14ac:dyDescent="0.8">
      <c r="A159" s="322" t="s">
        <v>231</v>
      </c>
      <c r="B159" s="323"/>
      <c r="C159" s="323"/>
      <c r="D159" s="323"/>
      <c r="E159" s="323"/>
      <c r="F159" s="323"/>
      <c r="G159" s="323"/>
      <c r="H159" s="323"/>
      <c r="I159" s="323"/>
      <c r="J159" s="323"/>
      <c r="K159" s="323"/>
      <c r="L159" s="324"/>
    </row>
    <row r="160" spans="1:256" ht="27.5" x14ac:dyDescent="0.75">
      <c r="A160" s="195"/>
      <c r="B160" s="180" t="s">
        <v>232</v>
      </c>
      <c r="C160" s="181" t="s">
        <v>229</v>
      </c>
      <c r="D160" s="181" t="s">
        <v>233</v>
      </c>
      <c r="E160" s="181" t="s">
        <v>234</v>
      </c>
      <c r="F160" s="181"/>
      <c r="G160" s="181"/>
      <c r="H160" s="181"/>
      <c r="I160" s="181"/>
      <c r="J160" s="181"/>
      <c r="K160" s="181"/>
      <c r="L160" s="196"/>
    </row>
    <row r="161" spans="1:256" s="183" customFormat="1" ht="28" x14ac:dyDescent="0.35">
      <c r="A161" s="189"/>
      <c r="B161" s="190"/>
      <c r="C161" s="192"/>
      <c r="D161" s="193"/>
      <c r="E161" s="197"/>
      <c r="F161" s="197"/>
      <c r="G161" s="197"/>
      <c r="H161" s="191"/>
      <c r="I161" s="190"/>
      <c r="J161" s="191"/>
      <c r="K161" s="191"/>
      <c r="L161" s="198"/>
      <c r="O161" s="184"/>
      <c r="R161" s="185"/>
      <c r="S161" s="185"/>
      <c r="T161" s="186"/>
      <c r="U161" s="187"/>
      <c r="V161" s="187"/>
      <c r="W161" s="186"/>
      <c r="X161" s="188"/>
    </row>
    <row r="162" spans="1:256" s="183" customFormat="1" ht="28" x14ac:dyDescent="0.35">
      <c r="A162" s="189"/>
      <c r="B162" s="190"/>
      <c r="C162" s="192"/>
      <c r="D162" s="193"/>
      <c r="E162" s="197"/>
      <c r="F162" s="197"/>
      <c r="G162" s="197"/>
      <c r="H162" s="191"/>
      <c r="I162" s="190"/>
      <c r="J162" s="191"/>
      <c r="K162" s="191"/>
      <c r="L162" s="198"/>
      <c r="O162" s="184"/>
      <c r="R162" s="185"/>
      <c r="S162" s="185"/>
      <c r="T162" s="186"/>
      <c r="U162" s="187"/>
      <c r="V162" s="187"/>
      <c r="W162" s="186"/>
      <c r="X162" s="188"/>
    </row>
    <row r="163" spans="1:256" s="183" customFormat="1" ht="28" x14ac:dyDescent="0.35">
      <c r="A163" s="189"/>
      <c r="B163" s="190"/>
      <c r="C163" s="192"/>
      <c r="D163" s="193"/>
      <c r="E163" s="197"/>
      <c r="F163" s="197"/>
      <c r="G163" s="197"/>
      <c r="H163" s="191"/>
      <c r="I163" s="190"/>
      <c r="J163" s="191"/>
      <c r="K163" s="191"/>
      <c r="L163" s="198"/>
      <c r="O163" s="184"/>
      <c r="R163" s="185"/>
      <c r="S163" s="185"/>
      <c r="T163" s="186"/>
      <c r="U163" s="187"/>
      <c r="V163" s="187"/>
      <c r="W163" s="186"/>
      <c r="X163" s="188"/>
    </row>
    <row r="164" spans="1:256" s="183" customFormat="1" ht="28" x14ac:dyDescent="0.35">
      <c r="A164" s="189"/>
      <c r="B164" s="190"/>
      <c r="C164" s="192"/>
      <c r="D164" s="193"/>
      <c r="E164" s="197"/>
      <c r="F164" s="197"/>
      <c r="G164" s="197"/>
      <c r="H164" s="191"/>
      <c r="I164" s="190"/>
      <c r="J164" s="191"/>
      <c r="K164" s="191"/>
      <c r="L164" s="198"/>
      <c r="O164" s="184"/>
      <c r="R164" s="185"/>
      <c r="S164" s="185"/>
      <c r="T164" s="186"/>
      <c r="U164" s="187"/>
      <c r="V164" s="187"/>
      <c r="W164" s="186"/>
      <c r="X164" s="188"/>
    </row>
    <row r="165" spans="1:256" customFormat="1" ht="43.5" customHeight="1" x14ac:dyDescent="0.8">
      <c r="A165" s="325" t="s">
        <v>235</v>
      </c>
      <c r="B165" s="326"/>
      <c r="C165" s="326"/>
      <c r="D165" s="326"/>
      <c r="E165" s="326"/>
      <c r="F165" s="326"/>
      <c r="G165" s="326"/>
      <c r="H165" s="326"/>
      <c r="I165" s="326"/>
      <c r="J165" s="326"/>
      <c r="K165" s="326"/>
      <c r="L165" s="327"/>
      <c r="M165" s="328"/>
      <c r="N165" s="329"/>
      <c r="O165" s="329"/>
      <c r="P165" s="329"/>
      <c r="Q165" s="329"/>
      <c r="R165" s="329"/>
      <c r="S165" s="329"/>
      <c r="T165" s="329"/>
      <c r="U165" s="329"/>
      <c r="V165" s="329"/>
      <c r="W165" s="329"/>
      <c r="X165" s="330"/>
      <c r="Y165" s="328"/>
      <c r="Z165" s="329"/>
      <c r="AA165" s="329"/>
      <c r="AB165" s="329"/>
      <c r="AC165" s="329"/>
      <c r="AD165" s="329"/>
      <c r="AE165" s="329"/>
      <c r="AF165" s="329"/>
      <c r="AG165" s="329"/>
      <c r="AH165" s="329"/>
      <c r="AI165" s="329"/>
      <c r="AJ165" s="330"/>
      <c r="AK165" s="328"/>
      <c r="AL165" s="329"/>
      <c r="AM165" s="329"/>
      <c r="AN165" s="329"/>
      <c r="AO165" s="329"/>
      <c r="AP165" s="329"/>
      <c r="AQ165" s="329"/>
      <c r="AR165" s="329"/>
      <c r="AS165" s="329"/>
      <c r="AT165" s="329"/>
      <c r="AU165" s="329"/>
      <c r="AV165" s="330"/>
      <c r="AW165" s="328"/>
      <c r="AX165" s="329"/>
      <c r="AY165" s="329"/>
      <c r="AZ165" s="329"/>
      <c r="BA165" s="329"/>
      <c r="BB165" s="329"/>
      <c r="BC165" s="329"/>
      <c r="BD165" s="329"/>
      <c r="BE165" s="329"/>
      <c r="BF165" s="329"/>
      <c r="BG165" s="329"/>
      <c r="BH165" s="330"/>
      <c r="BI165" s="328"/>
      <c r="BJ165" s="329"/>
      <c r="BK165" s="329"/>
      <c r="BL165" s="329"/>
      <c r="BM165" s="329"/>
      <c r="BN165" s="329"/>
      <c r="BO165" s="329"/>
      <c r="BP165" s="329"/>
      <c r="BQ165" s="329"/>
      <c r="BR165" s="329"/>
      <c r="BS165" s="329"/>
      <c r="BT165" s="330"/>
      <c r="BU165" s="328"/>
      <c r="BV165" s="329"/>
      <c r="BW165" s="329"/>
      <c r="BX165" s="329"/>
      <c r="BY165" s="329"/>
      <c r="BZ165" s="329"/>
      <c r="CA165" s="329"/>
      <c r="CB165" s="329"/>
      <c r="CC165" s="329"/>
      <c r="CD165" s="329"/>
      <c r="CE165" s="329"/>
      <c r="CF165" s="330"/>
      <c r="CG165" s="328"/>
      <c r="CH165" s="329"/>
      <c r="CI165" s="329"/>
      <c r="CJ165" s="329"/>
      <c r="CK165" s="329"/>
      <c r="CL165" s="329"/>
      <c r="CM165" s="329"/>
      <c r="CN165" s="329"/>
      <c r="CO165" s="329"/>
      <c r="CP165" s="329"/>
      <c r="CQ165" s="329"/>
      <c r="CR165" s="330"/>
      <c r="CS165" s="199"/>
      <c r="CT165" s="200"/>
      <c r="CU165" s="200"/>
      <c r="CV165" s="200"/>
      <c r="CW165" s="200"/>
      <c r="CX165" s="200"/>
      <c r="CY165" s="200"/>
      <c r="CZ165" s="200"/>
      <c r="DA165" s="200"/>
      <c r="DB165" s="200"/>
      <c r="DC165" s="200"/>
      <c r="DD165" s="201"/>
      <c r="DE165" s="199"/>
      <c r="DF165" s="200"/>
      <c r="DG165" s="200"/>
      <c r="DH165" s="200"/>
      <c r="DI165" s="200"/>
      <c r="DJ165" s="200"/>
      <c r="DK165" s="200"/>
      <c r="DL165" s="200"/>
      <c r="DM165" s="200"/>
      <c r="DN165" s="200"/>
      <c r="DO165" s="200"/>
      <c r="DP165" s="201"/>
      <c r="DQ165" s="328"/>
      <c r="DR165" s="329"/>
      <c r="DS165" s="329"/>
      <c r="DT165" s="329"/>
      <c r="DU165" s="329"/>
      <c r="DV165" s="329"/>
      <c r="DW165" s="329"/>
      <c r="DX165" s="329"/>
      <c r="DY165" s="329"/>
      <c r="DZ165" s="329"/>
      <c r="EA165" s="329"/>
      <c r="EB165" s="330"/>
      <c r="EC165" s="328"/>
      <c r="ED165" s="329"/>
      <c r="EE165" s="329"/>
      <c r="EF165" s="329"/>
      <c r="EG165" s="329"/>
      <c r="EH165" s="329"/>
      <c r="EI165" s="329"/>
      <c r="EJ165" s="329"/>
      <c r="EK165" s="329"/>
      <c r="EL165" s="329"/>
      <c r="EM165" s="329"/>
      <c r="EN165" s="330"/>
      <c r="EO165" s="328"/>
      <c r="EP165" s="329"/>
      <c r="EQ165" s="329"/>
      <c r="ER165" s="329"/>
      <c r="ES165" s="329"/>
      <c r="ET165" s="329"/>
      <c r="EU165" s="329"/>
      <c r="EV165" s="329"/>
      <c r="EW165" s="329"/>
      <c r="EX165" s="329"/>
      <c r="EY165" s="329"/>
      <c r="EZ165" s="330"/>
      <c r="FA165" s="328"/>
      <c r="FB165" s="329"/>
      <c r="FC165" s="329"/>
      <c r="FD165" s="329"/>
      <c r="FE165" s="329"/>
      <c r="FF165" s="329"/>
      <c r="FG165" s="329"/>
      <c r="FH165" s="329"/>
      <c r="FI165" s="329"/>
      <c r="FJ165" s="329"/>
      <c r="FK165" s="329"/>
      <c r="FL165" s="330"/>
      <c r="FM165" s="328"/>
      <c r="FN165" s="329"/>
      <c r="FO165" s="329"/>
      <c r="FP165" s="329"/>
      <c r="FQ165" s="329"/>
      <c r="FR165" s="329"/>
      <c r="FS165" s="329"/>
      <c r="FT165" s="329"/>
      <c r="FU165" s="329"/>
      <c r="FV165" s="329"/>
      <c r="FW165" s="329"/>
      <c r="FX165" s="330"/>
      <c r="FY165" s="328"/>
      <c r="FZ165" s="329"/>
      <c r="GA165" s="329"/>
      <c r="GB165" s="329"/>
      <c r="GC165" s="329"/>
      <c r="GD165" s="329"/>
      <c r="GE165" s="329"/>
      <c r="GF165" s="329"/>
      <c r="GG165" s="329"/>
      <c r="GH165" s="329"/>
      <c r="GI165" s="329"/>
      <c r="GJ165" s="330"/>
      <c r="GK165" s="328"/>
      <c r="GL165" s="329"/>
      <c r="GM165" s="329"/>
      <c r="GN165" s="329"/>
      <c r="GO165" s="329"/>
      <c r="GP165" s="329"/>
      <c r="GQ165" s="329"/>
      <c r="GR165" s="329"/>
      <c r="GS165" s="329"/>
      <c r="GT165" s="329"/>
      <c r="GU165" s="329"/>
      <c r="GV165" s="330"/>
      <c r="GW165" s="199"/>
      <c r="GX165" s="200"/>
      <c r="GY165" s="200"/>
      <c r="GZ165" s="200"/>
      <c r="HA165" s="200"/>
      <c r="HB165" s="200"/>
      <c r="HC165" s="200"/>
      <c r="HD165" s="200"/>
      <c r="HE165" s="200"/>
      <c r="HF165" s="200"/>
      <c r="HG165" s="200"/>
      <c r="HH165" s="201"/>
      <c r="HI165" s="328"/>
      <c r="HJ165" s="329"/>
      <c r="HK165" s="329"/>
      <c r="HL165" s="329"/>
      <c r="HM165" s="329"/>
      <c r="HN165" s="329"/>
      <c r="HO165" s="329"/>
      <c r="HP165" s="329"/>
      <c r="HQ165" s="329"/>
      <c r="HR165" s="329"/>
      <c r="HS165" s="329"/>
      <c r="HT165" s="330"/>
      <c r="HU165" s="328"/>
      <c r="HV165" s="329"/>
      <c r="HW165" s="329"/>
      <c r="HX165" s="329"/>
      <c r="HY165" s="329"/>
      <c r="HZ165" s="329"/>
      <c r="IA165" s="329"/>
      <c r="IB165" s="329"/>
      <c r="IC165" s="329"/>
      <c r="ID165" s="329"/>
      <c r="IE165" s="329"/>
      <c r="IF165" s="330"/>
      <c r="IG165" s="328"/>
      <c r="IH165" s="329"/>
      <c r="II165" s="329"/>
      <c r="IJ165" s="329"/>
      <c r="IK165" s="329"/>
      <c r="IL165" s="329"/>
      <c r="IM165" s="329"/>
      <c r="IN165" s="329"/>
      <c r="IO165" s="329"/>
      <c r="IP165" s="329"/>
      <c r="IQ165" s="329"/>
      <c r="IR165" s="330"/>
      <c r="IS165" s="328"/>
      <c r="IT165" s="328"/>
      <c r="IU165" s="328"/>
      <c r="IV165" s="328"/>
    </row>
    <row r="166" spans="1:256" customFormat="1" ht="30" x14ac:dyDescent="0.8">
      <c r="A166" s="202" t="s">
        <v>236</v>
      </c>
      <c r="B166" s="202" t="s">
        <v>237</v>
      </c>
      <c r="C166" s="202"/>
      <c r="D166" s="202"/>
      <c r="E166" s="202"/>
      <c r="F166" s="202"/>
      <c r="G166" s="202"/>
      <c r="H166" s="202" t="s">
        <v>238</v>
      </c>
      <c r="I166" s="202" t="s">
        <v>239</v>
      </c>
      <c r="J166" s="202" t="s">
        <v>239</v>
      </c>
      <c r="K166" s="202" t="s">
        <v>240</v>
      </c>
      <c r="L166" s="202" t="s">
        <v>241</v>
      </c>
      <c r="O166" s="203"/>
      <c r="R166" s="204"/>
      <c r="S166" s="204"/>
      <c r="T166" s="205"/>
      <c r="U166" s="206"/>
      <c r="V166" s="206"/>
      <c r="W166" s="205"/>
      <c r="X166" s="207"/>
    </row>
    <row r="167" spans="1:256" customFormat="1" ht="30" x14ac:dyDescent="0.8">
      <c r="A167" s="202" t="s">
        <v>242</v>
      </c>
      <c r="B167" s="202" t="s">
        <v>242</v>
      </c>
      <c r="C167" s="208" t="s">
        <v>229</v>
      </c>
      <c r="D167" s="202" t="s">
        <v>243</v>
      </c>
      <c r="E167" s="202"/>
      <c r="F167" s="202"/>
      <c r="G167" s="202"/>
      <c r="H167" s="202"/>
      <c r="I167" s="202"/>
      <c r="J167" s="202"/>
      <c r="K167" s="202" t="s">
        <v>244</v>
      </c>
      <c r="L167" s="202"/>
      <c r="O167" s="203"/>
      <c r="R167" s="204"/>
      <c r="S167" s="204"/>
      <c r="T167" s="205"/>
      <c r="U167" s="206"/>
      <c r="V167" s="206"/>
      <c r="W167" s="205"/>
      <c r="X167" s="207"/>
    </row>
    <row r="168" spans="1:256" customFormat="1" ht="42" customHeight="1" x14ac:dyDescent="0.5">
      <c r="A168" s="332"/>
      <c r="B168" s="333"/>
      <c r="C168" s="333"/>
      <c r="D168" s="333"/>
      <c r="E168" s="334"/>
      <c r="F168" s="334"/>
      <c r="G168" s="334"/>
      <c r="H168" s="335"/>
      <c r="I168" s="332"/>
      <c r="J168" s="333"/>
      <c r="K168" s="333"/>
      <c r="L168" s="333"/>
      <c r="O168" s="203"/>
      <c r="R168" s="204"/>
      <c r="S168" s="204"/>
      <c r="T168" s="205"/>
      <c r="U168" s="206"/>
      <c r="V168" s="206"/>
      <c r="W168" s="205"/>
      <c r="X168" s="207"/>
    </row>
    <row r="169" spans="1:256" customFormat="1" ht="42" customHeight="1" x14ac:dyDescent="0.85">
      <c r="A169" s="209">
        <v>25.35</v>
      </c>
      <c r="B169" s="209">
        <v>25.35</v>
      </c>
      <c r="C169" s="210" t="s">
        <v>245</v>
      </c>
      <c r="D169" s="211" t="s">
        <v>246</v>
      </c>
      <c r="E169" s="209"/>
      <c r="F169" s="209"/>
      <c r="G169" s="209"/>
      <c r="H169" s="209"/>
      <c r="I169" s="209"/>
      <c r="J169" s="211"/>
      <c r="K169" s="211">
        <v>268625919</v>
      </c>
      <c r="L169" s="211"/>
      <c r="O169" s="203"/>
      <c r="R169" s="204"/>
      <c r="S169" s="204"/>
      <c r="T169" s="205"/>
      <c r="U169" s="206"/>
      <c r="V169" s="206"/>
      <c r="W169" s="205"/>
      <c r="X169" s="207"/>
    </row>
    <row r="170" spans="1:256" customFormat="1" ht="42" customHeight="1" x14ac:dyDescent="0.85">
      <c r="A170" s="209">
        <v>22.21</v>
      </c>
      <c r="B170" s="209">
        <v>22.21</v>
      </c>
      <c r="C170" s="210" t="s">
        <v>247</v>
      </c>
      <c r="D170" s="211" t="s">
        <v>246</v>
      </c>
      <c r="E170" s="209"/>
      <c r="F170" s="209"/>
      <c r="G170" s="209"/>
      <c r="H170" s="209"/>
      <c r="I170" s="209"/>
      <c r="J170" s="211"/>
      <c r="K170" s="211">
        <v>1836269208</v>
      </c>
      <c r="L170" s="211"/>
      <c r="O170" s="203"/>
      <c r="R170" s="204"/>
      <c r="S170" s="204"/>
      <c r="T170" s="205"/>
      <c r="U170" s="206"/>
      <c r="V170" s="206"/>
      <c r="W170" s="205"/>
      <c r="X170" s="207"/>
    </row>
    <row r="171" spans="1:256" customFormat="1" ht="42" customHeight="1" x14ac:dyDescent="0.85">
      <c r="A171" s="209">
        <v>13.8</v>
      </c>
      <c r="B171" s="209">
        <v>11</v>
      </c>
      <c r="C171" s="210" t="s">
        <v>248</v>
      </c>
      <c r="D171" s="211" t="s">
        <v>246</v>
      </c>
      <c r="E171" s="209"/>
      <c r="F171" s="209"/>
      <c r="G171" s="209"/>
      <c r="H171" s="209"/>
      <c r="I171" s="209"/>
      <c r="J171" s="211"/>
      <c r="K171" s="211">
        <v>13588135</v>
      </c>
      <c r="L171" s="211"/>
      <c r="O171" s="203"/>
      <c r="R171" s="204"/>
      <c r="S171" s="204"/>
      <c r="T171" s="205"/>
      <c r="U171" s="206"/>
      <c r="V171" s="206"/>
      <c r="W171" s="205"/>
      <c r="X171" s="207"/>
    </row>
    <row r="172" spans="1:256" customFormat="1" ht="42" customHeight="1" x14ac:dyDescent="0.85">
      <c r="A172" s="209">
        <v>100</v>
      </c>
      <c r="B172" s="209">
        <v>100</v>
      </c>
      <c r="C172" s="210" t="s">
        <v>249</v>
      </c>
      <c r="D172" s="211" t="s">
        <v>246</v>
      </c>
      <c r="E172" s="209"/>
      <c r="F172" s="209"/>
      <c r="G172" s="209"/>
      <c r="H172" s="209"/>
      <c r="I172" s="209"/>
      <c r="J172" s="211"/>
      <c r="K172" s="211" t="s">
        <v>250</v>
      </c>
      <c r="L172" s="211"/>
      <c r="O172" s="203"/>
      <c r="R172" s="204"/>
      <c r="S172" s="204"/>
      <c r="T172" s="205"/>
      <c r="U172" s="206"/>
      <c r="V172" s="206"/>
      <c r="W172" s="205"/>
      <c r="X172" s="207"/>
    </row>
    <row r="173" spans="1:256" customFormat="1" ht="42" customHeight="1" x14ac:dyDescent="0.5">
      <c r="A173" s="212"/>
      <c r="B173" s="213"/>
      <c r="C173" s="214"/>
      <c r="D173" s="214"/>
      <c r="E173" s="214"/>
      <c r="F173" s="214"/>
      <c r="G173" s="214"/>
      <c r="H173" s="215"/>
      <c r="I173" s="216"/>
      <c r="L173" s="217"/>
      <c r="O173" s="203"/>
      <c r="R173" s="204"/>
      <c r="S173" s="204"/>
      <c r="T173" s="205"/>
      <c r="U173" s="206"/>
      <c r="V173" s="206"/>
      <c r="W173" s="205"/>
      <c r="X173" s="207"/>
    </row>
    <row r="174" spans="1:256" s="218" customFormat="1" ht="30.5" x14ac:dyDescent="0.85">
      <c r="A174" s="202" t="s">
        <v>251</v>
      </c>
      <c r="B174" s="202" t="s">
        <v>252</v>
      </c>
      <c r="C174" s="202"/>
      <c r="D174" s="202"/>
      <c r="E174" s="202"/>
      <c r="F174" s="202"/>
      <c r="G174" s="202"/>
      <c r="H174" s="202" t="s">
        <v>253</v>
      </c>
      <c r="I174" s="202"/>
      <c r="J174" s="202"/>
      <c r="K174" s="202"/>
      <c r="L174" s="202"/>
      <c r="O174" s="219"/>
      <c r="Q174" s="220"/>
      <c r="R174" s="221"/>
      <c r="S174" s="221"/>
      <c r="T174" s="222"/>
      <c r="U174" s="223"/>
      <c r="V174" s="223"/>
      <c r="W174" s="222"/>
      <c r="X174" s="224"/>
      <c r="Y174" s="220"/>
    </row>
    <row r="175" spans="1:256" s="218" customFormat="1" ht="42" customHeight="1" x14ac:dyDescent="0.85">
      <c r="A175" s="202" t="s">
        <v>254</v>
      </c>
      <c r="B175" s="202" t="s">
        <v>254</v>
      </c>
      <c r="C175" s="208" t="s">
        <v>229</v>
      </c>
      <c r="D175" s="208"/>
      <c r="E175" s="202" t="s">
        <v>255</v>
      </c>
      <c r="F175" s="202"/>
      <c r="G175" s="202"/>
      <c r="H175" s="225" t="s">
        <v>256</v>
      </c>
      <c r="I175" s="225"/>
      <c r="J175" s="225"/>
      <c r="K175" s="225"/>
      <c r="L175" s="225"/>
      <c r="O175" s="219"/>
      <c r="Q175" s="220"/>
      <c r="R175" s="221"/>
      <c r="S175" s="221"/>
      <c r="T175" s="222"/>
      <c r="U175" s="223"/>
      <c r="V175" s="223"/>
      <c r="W175" s="222"/>
      <c r="X175" s="224"/>
      <c r="Y175" s="220"/>
    </row>
    <row r="176" spans="1:256" s="218" customFormat="1" ht="42" customHeight="1" x14ac:dyDescent="0.85">
      <c r="A176" s="226">
        <v>45419</v>
      </c>
      <c r="B176" s="226">
        <v>50897</v>
      </c>
      <c r="C176" s="227" t="s">
        <v>257</v>
      </c>
      <c r="D176" s="228" t="s">
        <v>258</v>
      </c>
      <c r="E176" s="229" t="s">
        <v>259</v>
      </c>
      <c r="F176" s="230"/>
      <c r="G176" s="230"/>
      <c r="H176" s="231"/>
      <c r="I176" s="232"/>
      <c r="J176" s="232"/>
      <c r="K176" s="232"/>
      <c r="L176" s="232"/>
      <c r="O176" s="219"/>
      <c r="Q176" s="220"/>
      <c r="R176" s="221"/>
      <c r="S176" s="221"/>
      <c r="T176" s="222"/>
      <c r="U176" s="223"/>
      <c r="V176" s="223"/>
      <c r="W176" s="222"/>
      <c r="X176" s="224"/>
      <c r="Y176" s="220"/>
    </row>
    <row r="177" spans="1:25" s="218" customFormat="1" ht="42" customHeight="1" x14ac:dyDescent="0.85">
      <c r="C177" s="233"/>
      <c r="D177" s="234"/>
      <c r="E177" s="235"/>
      <c r="F177" s="235"/>
      <c r="G177" s="235"/>
      <c r="H177" s="236"/>
      <c r="I177" s="236"/>
      <c r="J177" s="236"/>
      <c r="L177" s="237"/>
      <c r="O177" s="219"/>
      <c r="Q177" s="220"/>
      <c r="R177" s="221"/>
      <c r="S177" s="221"/>
      <c r="T177" s="222"/>
      <c r="U177" s="223"/>
      <c r="V177" s="223"/>
      <c r="W177" s="222"/>
      <c r="X177" s="224"/>
      <c r="Y177" s="220"/>
    </row>
    <row r="178" spans="1:25" s="218" customFormat="1" ht="42" customHeight="1" thickBot="1" x14ac:dyDescent="0.9">
      <c r="C178" s="331" t="s">
        <v>260</v>
      </c>
      <c r="D178" s="331"/>
      <c r="H178" s="238"/>
      <c r="I178" s="239"/>
      <c r="J178" s="236"/>
      <c r="L178" s="240"/>
      <c r="O178" s="219"/>
      <c r="Q178" s="220"/>
      <c r="R178" s="221"/>
      <c r="S178" s="221"/>
      <c r="T178" s="222"/>
      <c r="U178" s="223"/>
      <c r="V178" s="223"/>
      <c r="W178" s="222"/>
      <c r="X178" s="224"/>
      <c r="Y178" s="220"/>
    </row>
    <row r="179" spans="1:25" s="218" customFormat="1" ht="42" customHeight="1" thickBot="1" x14ac:dyDescent="0.9">
      <c r="C179" s="241" t="s">
        <v>261</v>
      </c>
      <c r="D179" s="241" t="s">
        <v>262</v>
      </c>
      <c r="H179" s="242"/>
      <c r="J179" s="236"/>
      <c r="L179" s="240"/>
      <c r="O179" s="219"/>
      <c r="Q179" s="220"/>
      <c r="R179" s="221"/>
      <c r="S179" s="221"/>
      <c r="T179" s="222"/>
      <c r="U179" s="223"/>
      <c r="V179" s="223"/>
      <c r="W179" s="222"/>
      <c r="X179" s="224"/>
      <c r="Y179" s="220"/>
    </row>
    <row r="180" spans="1:25" s="218" customFormat="1" ht="42" customHeight="1" thickBot="1" x14ac:dyDescent="0.9">
      <c r="A180" s="243"/>
      <c r="B180" s="244"/>
      <c r="C180" s="245">
        <f>I169+I170+I171+I172</f>
        <v>0</v>
      </c>
      <c r="D180" s="245">
        <v>0</v>
      </c>
      <c r="E180" s="246"/>
      <c r="F180" s="246"/>
      <c r="G180" s="246"/>
      <c r="H180" s="245"/>
      <c r="I180" s="246"/>
      <c r="J180" s="247"/>
      <c r="K180" s="243"/>
      <c r="L180" s="248"/>
      <c r="O180" s="219"/>
      <c r="Q180" s="220"/>
      <c r="R180" s="221"/>
      <c r="S180" s="221"/>
      <c r="T180" s="222"/>
      <c r="U180" s="223"/>
      <c r="V180" s="223"/>
      <c r="W180" s="222"/>
      <c r="X180" s="224"/>
      <c r="Y180" s="220"/>
    </row>
    <row r="181" spans="1:25" customFormat="1" ht="14.5" customHeight="1" x14ac:dyDescent="0.5">
      <c r="A181" s="249"/>
      <c r="B181" s="213"/>
      <c r="C181" s="213"/>
      <c r="D181" s="214"/>
      <c r="E181" s="214"/>
      <c r="F181" s="214"/>
      <c r="G181" s="214"/>
      <c r="H181" s="250"/>
      <c r="I181" s="216"/>
      <c r="O181" s="203"/>
      <c r="R181" s="204"/>
      <c r="S181" s="204"/>
      <c r="T181" s="205"/>
      <c r="U181" s="206"/>
      <c r="V181" s="206"/>
      <c r="W181" s="205"/>
      <c r="X181" s="207"/>
    </row>
    <row r="182" spans="1:25" customFormat="1" x14ac:dyDescent="0.5">
      <c r="O182" s="203"/>
      <c r="R182" s="204"/>
      <c r="S182" s="204"/>
      <c r="T182" s="205"/>
      <c r="U182" s="206"/>
      <c r="V182" s="206"/>
      <c r="W182" s="205"/>
      <c r="X182" s="207"/>
    </row>
  </sheetData>
  <mergeCells count="25">
    <mergeCell ref="C178:D178"/>
    <mergeCell ref="HI165:HT165"/>
    <mergeCell ref="HU165:IF165"/>
    <mergeCell ref="IG165:IR165"/>
    <mergeCell ref="IS165:IV165"/>
    <mergeCell ref="A168:H168"/>
    <mergeCell ref="I168:L168"/>
    <mergeCell ref="EC165:EN165"/>
    <mergeCell ref="EO165:EZ165"/>
    <mergeCell ref="FA165:FL165"/>
    <mergeCell ref="FM165:FX165"/>
    <mergeCell ref="FY165:GJ165"/>
    <mergeCell ref="GK165:GV165"/>
    <mergeCell ref="AK165:AV165"/>
    <mergeCell ref="AW165:BH165"/>
    <mergeCell ref="BI165:BT165"/>
    <mergeCell ref="BU165:CF165"/>
    <mergeCell ref="CG165:CR165"/>
    <mergeCell ref="DQ165:EB165"/>
    <mergeCell ref="A155:L155"/>
    <mergeCell ref="A156:L156"/>
    <mergeCell ref="A159:L159"/>
    <mergeCell ref="A165:L165"/>
    <mergeCell ref="M165:X165"/>
    <mergeCell ref="Y165:AJ165"/>
  </mergeCells>
  <pageMargins left="0.32" right="0.21" top="0.27" bottom="0.31" header="0.3" footer="0.3"/>
  <pageSetup paperSize="9" scale="23" orientation="portrait" r:id="rId1"/>
  <rowBreaks count="1" manualBreakCount="1">
    <brk id="76" max="11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77319-68FF-452F-B0C6-B194A053996D}">
  <sheetPr>
    <pageSetUpPr fitToPage="1"/>
  </sheetPr>
  <dimension ref="A1:L100"/>
  <sheetViews>
    <sheetView tabSelected="1" workbookViewId="0">
      <selection activeCell="F4" sqref="F4"/>
    </sheetView>
  </sheetViews>
  <sheetFormatPr defaultRowHeight="14.5" x14ac:dyDescent="0.35"/>
  <cols>
    <col min="1" max="1" width="45" bestFit="1" customWidth="1"/>
    <col min="2" max="2" width="13.1796875" bestFit="1" customWidth="1"/>
    <col min="3" max="3" width="17" customWidth="1"/>
    <col min="4" max="4" width="19.1796875" customWidth="1"/>
    <col min="5" max="5" width="9.1796875" customWidth="1"/>
    <col min="6" max="6" width="10" bestFit="1" customWidth="1"/>
    <col min="7" max="7" width="9.7265625" customWidth="1"/>
    <col min="8" max="8" width="11.81640625" customWidth="1"/>
    <col min="9" max="9" width="12.81640625" bestFit="1" customWidth="1"/>
    <col min="10" max="10" width="16.81640625" bestFit="1" customWidth="1"/>
    <col min="11" max="11" width="18.453125" customWidth="1"/>
    <col min="12" max="12" width="16.81640625" bestFit="1" customWidth="1"/>
  </cols>
  <sheetData>
    <row r="1" spans="1:11" ht="17" thickBot="1" x14ac:dyDescent="0.55000000000000004">
      <c r="A1" s="251"/>
      <c r="B1" s="252"/>
      <c r="C1" s="253" t="s">
        <v>263</v>
      </c>
      <c r="D1" s="252"/>
      <c r="E1" s="253" t="s">
        <v>264</v>
      </c>
      <c r="F1" s="252"/>
      <c r="G1" s="252"/>
      <c r="H1" s="252"/>
    </row>
    <row r="2" spans="1:11" ht="17" thickBot="1" x14ac:dyDescent="0.55000000000000004">
      <c r="A2" s="254" t="s">
        <v>10</v>
      </c>
      <c r="B2" s="255" t="s">
        <v>265</v>
      </c>
      <c r="C2" s="256" t="s">
        <v>266</v>
      </c>
      <c r="D2" s="257" t="s">
        <v>267</v>
      </c>
      <c r="E2" s="256" t="s">
        <v>268</v>
      </c>
      <c r="F2" s="258" t="s">
        <v>8</v>
      </c>
      <c r="G2" s="259" t="s">
        <v>269</v>
      </c>
      <c r="H2" s="260" t="s">
        <v>270</v>
      </c>
      <c r="K2" s="261"/>
    </row>
    <row r="3" spans="1:11" ht="15" customHeight="1" x14ac:dyDescent="0.45">
      <c r="A3" s="262" t="s">
        <v>271</v>
      </c>
      <c r="B3" s="263" t="s">
        <v>24</v>
      </c>
      <c r="C3" s="264">
        <v>32157000</v>
      </c>
      <c r="D3" s="265">
        <f t="shared" ref="D3:D8" si="0">C3*F3</f>
        <v>903611700</v>
      </c>
      <c r="E3" s="265" t="s">
        <v>272</v>
      </c>
      <c r="F3" s="266">
        <f>'Price-List'!O5</f>
        <v>28.1</v>
      </c>
      <c r="G3" s="267">
        <f t="shared" ref="G3:G8" si="1">1.1*F3</f>
        <v>30.910000000000004</v>
      </c>
      <c r="H3" s="268">
        <f>0.9*F3</f>
        <v>25.290000000000003</v>
      </c>
      <c r="J3" s="269"/>
    </row>
    <row r="4" spans="1:11" ht="15.5" x14ac:dyDescent="0.45">
      <c r="A4" s="270" t="s">
        <v>273</v>
      </c>
      <c r="B4" s="271" t="s">
        <v>26</v>
      </c>
      <c r="C4" s="272">
        <v>19599999</v>
      </c>
      <c r="D4" s="273">
        <f t="shared" si="0"/>
        <v>8423099570.25</v>
      </c>
      <c r="E4" s="265" t="s">
        <v>272</v>
      </c>
      <c r="F4" s="266">
        <f>'Price-List'!O6</f>
        <v>429.75</v>
      </c>
      <c r="G4" s="274">
        <f t="shared" si="1"/>
        <v>472.72500000000002</v>
      </c>
      <c r="H4" s="275">
        <f t="shared" ref="H4:H70" si="2">0.9*F4</f>
        <v>386.77500000000003</v>
      </c>
      <c r="J4" s="269"/>
    </row>
    <row r="5" spans="1:11" ht="15.5" x14ac:dyDescent="0.45">
      <c r="A5" s="270" t="s">
        <v>274</v>
      </c>
      <c r="B5" s="271" t="s">
        <v>28</v>
      </c>
      <c r="C5" s="272">
        <f>7824000+7824000</f>
        <v>15648000</v>
      </c>
      <c r="D5" s="273">
        <f t="shared" si="0"/>
        <v>5343792000</v>
      </c>
      <c r="E5" s="265" t="s">
        <v>272</v>
      </c>
      <c r="F5" s="266">
        <f>'Price-List'!O7</f>
        <v>341.5</v>
      </c>
      <c r="G5" s="274">
        <f t="shared" si="1"/>
        <v>375.65000000000003</v>
      </c>
      <c r="H5" s="275">
        <f t="shared" si="2"/>
        <v>307.35000000000002</v>
      </c>
      <c r="J5" s="269"/>
    </row>
    <row r="6" spans="1:11" ht="15.5" x14ac:dyDescent="0.45">
      <c r="A6" s="270" t="s">
        <v>275</v>
      </c>
      <c r="B6" s="271" t="s">
        <v>31</v>
      </c>
      <c r="C6" s="272">
        <v>2400000</v>
      </c>
      <c r="D6" s="273">
        <f t="shared" si="0"/>
        <v>1260000000</v>
      </c>
      <c r="E6" s="265" t="s">
        <v>272</v>
      </c>
      <c r="F6" s="266">
        <f>'Price-List'!O8</f>
        <v>525</v>
      </c>
      <c r="G6" s="274">
        <f t="shared" si="1"/>
        <v>577.5</v>
      </c>
      <c r="H6" s="275">
        <f t="shared" si="2"/>
        <v>472.5</v>
      </c>
      <c r="J6" s="269"/>
      <c r="K6" s="276"/>
    </row>
    <row r="7" spans="1:11" ht="15.5" x14ac:dyDescent="0.45">
      <c r="A7" s="270" t="s">
        <v>276</v>
      </c>
      <c r="B7" s="271" t="s">
        <v>33</v>
      </c>
      <c r="C7" s="272">
        <v>228055500</v>
      </c>
      <c r="D7" s="273">
        <f t="shared" si="0"/>
        <v>5530345875</v>
      </c>
      <c r="E7" s="265" t="s">
        <v>272</v>
      </c>
      <c r="F7" s="266">
        <f>'Price-List'!O9</f>
        <v>24.25</v>
      </c>
      <c r="G7" s="274">
        <f t="shared" si="1"/>
        <v>26.675000000000001</v>
      </c>
      <c r="H7" s="275">
        <f t="shared" si="2"/>
        <v>21.824999999999999</v>
      </c>
      <c r="J7" s="269"/>
    </row>
    <row r="8" spans="1:11" ht="15.5" x14ac:dyDescent="0.45">
      <c r="A8" s="270" t="s">
        <v>277</v>
      </c>
      <c r="B8" s="271" t="s">
        <v>35</v>
      </c>
      <c r="C8" s="272">
        <f>17512640+17512640</f>
        <v>35025280</v>
      </c>
      <c r="D8" s="273">
        <f t="shared" si="0"/>
        <v>5472700000</v>
      </c>
      <c r="E8" s="265" t="s">
        <v>272</v>
      </c>
      <c r="F8" s="266">
        <f>'Price-List'!O10</f>
        <v>156.25</v>
      </c>
      <c r="G8" s="274">
        <f t="shared" si="1"/>
        <v>171.875</v>
      </c>
      <c r="H8" s="275">
        <f t="shared" si="2"/>
        <v>140.625</v>
      </c>
      <c r="J8" s="269"/>
    </row>
    <row r="9" spans="1:11" ht="16" thickBot="1" x14ac:dyDescent="0.5">
      <c r="A9" s="277"/>
      <c r="B9" s="278"/>
      <c r="C9" s="279"/>
      <c r="D9" s="280"/>
      <c r="E9" s="280"/>
      <c r="F9" s="281"/>
      <c r="G9" s="282" t="s">
        <v>278</v>
      </c>
      <c r="H9" s="283"/>
      <c r="J9" s="269"/>
    </row>
    <row r="10" spans="1:11" ht="15" thickBot="1" x14ac:dyDescent="0.4">
      <c r="A10" s="284" t="s">
        <v>36</v>
      </c>
      <c r="B10" s="285"/>
      <c r="C10" s="286"/>
      <c r="D10" s="287"/>
      <c r="E10" s="288"/>
      <c r="F10" s="289"/>
      <c r="G10" s="290" t="s">
        <v>278</v>
      </c>
      <c r="H10" s="291"/>
      <c r="J10" s="269"/>
    </row>
    <row r="11" spans="1:11" ht="15.5" x14ac:dyDescent="0.45">
      <c r="A11" s="262" t="s">
        <v>279</v>
      </c>
      <c r="B11" s="263" t="s">
        <v>38</v>
      </c>
      <c r="C11" s="264">
        <f>40103308+40103308</f>
        <v>80206616</v>
      </c>
      <c r="D11" s="265">
        <f>C11*F11</f>
        <v>24944257576</v>
      </c>
      <c r="E11" s="265" t="s">
        <v>272</v>
      </c>
      <c r="F11" s="266">
        <f>'Price-List'!O13</f>
        <v>311</v>
      </c>
      <c r="G11" s="267">
        <f>1.1*F11</f>
        <v>342.1</v>
      </c>
      <c r="H11" s="268">
        <f t="shared" si="2"/>
        <v>279.90000000000003</v>
      </c>
      <c r="J11" s="269"/>
    </row>
    <row r="12" spans="1:11" ht="16" thickBot="1" x14ac:dyDescent="0.5">
      <c r="A12" s="277"/>
      <c r="B12" s="278"/>
      <c r="C12" s="279"/>
      <c r="D12" s="280"/>
      <c r="E12" s="280"/>
      <c r="F12" s="281"/>
      <c r="G12" s="282" t="s">
        <v>278</v>
      </c>
      <c r="H12" s="283"/>
      <c r="J12" s="269"/>
    </row>
    <row r="13" spans="1:11" ht="15" thickBot="1" x14ac:dyDescent="0.4">
      <c r="A13" s="284" t="s">
        <v>40</v>
      </c>
      <c r="B13" s="285"/>
      <c r="C13" s="286"/>
      <c r="D13" s="287"/>
      <c r="E13" s="287"/>
      <c r="F13" s="287"/>
      <c r="G13" s="292" t="s">
        <v>278</v>
      </c>
      <c r="H13" s="291"/>
      <c r="J13" s="269"/>
    </row>
    <row r="14" spans="1:11" ht="15.5" x14ac:dyDescent="0.45">
      <c r="A14" s="262" t="s">
        <v>41</v>
      </c>
      <c r="B14" s="263" t="s">
        <v>42</v>
      </c>
      <c r="C14" s="264">
        <v>5431536000</v>
      </c>
      <c r="D14" s="265">
        <f t="shared" ref="D14:D25" si="3">C14*F14</f>
        <v>186573261600</v>
      </c>
      <c r="E14" s="265" t="s">
        <v>272</v>
      </c>
      <c r="F14" s="266">
        <f>'Price-List'!O16</f>
        <v>34.35</v>
      </c>
      <c r="G14" s="267">
        <f>1.1*F14</f>
        <v>37.785000000000004</v>
      </c>
      <c r="H14" s="268">
        <f t="shared" si="2"/>
        <v>30.915000000000003</v>
      </c>
      <c r="J14" s="269"/>
    </row>
    <row r="15" spans="1:11" ht="15.5" x14ac:dyDescent="0.45">
      <c r="A15" s="262" t="s">
        <v>43</v>
      </c>
      <c r="B15" s="263" t="s">
        <v>44</v>
      </c>
      <c r="C15" s="264">
        <v>896759222</v>
      </c>
      <c r="D15" s="265">
        <f t="shared" si="3"/>
        <v>56047451375</v>
      </c>
      <c r="E15" s="265" t="s">
        <v>272</v>
      </c>
      <c r="F15" s="266">
        <f>'Price-List'!O17</f>
        <v>62.5</v>
      </c>
      <c r="G15" s="267">
        <f t="shared" ref="G15:G25" si="4">1.1*F15</f>
        <v>68.75</v>
      </c>
      <c r="H15" s="268">
        <f>0.9*F15</f>
        <v>56.25</v>
      </c>
      <c r="J15" s="269"/>
    </row>
    <row r="16" spans="1:11" ht="15.5" x14ac:dyDescent="0.45">
      <c r="A16" s="270" t="s">
        <v>45</v>
      </c>
      <c r="B16" s="271" t="s">
        <v>46</v>
      </c>
      <c r="C16" s="272">
        <v>279602220</v>
      </c>
      <c r="D16" s="273">
        <f t="shared" si="3"/>
        <v>43757747430</v>
      </c>
      <c r="E16" s="265" t="s">
        <v>272</v>
      </c>
      <c r="F16" s="266">
        <f>'Price-List'!O18</f>
        <v>156.5</v>
      </c>
      <c r="G16" s="274">
        <f t="shared" si="4"/>
        <v>172.15</v>
      </c>
      <c r="H16" s="275">
        <f t="shared" si="2"/>
        <v>140.85</v>
      </c>
      <c r="J16" s="269"/>
    </row>
    <row r="17" spans="1:11" ht="15.5" x14ac:dyDescent="0.45">
      <c r="A17" s="270" t="s">
        <v>47</v>
      </c>
      <c r="B17" s="271" t="s">
        <v>48</v>
      </c>
      <c r="C17" s="272">
        <v>3773674802</v>
      </c>
      <c r="D17" s="273">
        <f>C17*F17</f>
        <v>347178081784</v>
      </c>
      <c r="E17" s="265" t="s">
        <v>272</v>
      </c>
      <c r="F17" s="266">
        <f>'Price-List'!O19</f>
        <v>92</v>
      </c>
      <c r="G17" s="274">
        <f t="shared" si="4"/>
        <v>101.2</v>
      </c>
      <c r="H17" s="275">
        <f t="shared" si="2"/>
        <v>82.8</v>
      </c>
      <c r="J17" s="269"/>
    </row>
    <row r="18" spans="1:11" ht="15.5" x14ac:dyDescent="0.45">
      <c r="A18" s="270" t="s">
        <v>49</v>
      </c>
      <c r="B18" s="271" t="s">
        <v>50</v>
      </c>
      <c r="C18" s="272">
        <v>1662654760</v>
      </c>
      <c r="D18" s="273">
        <f>C18*F18</f>
        <v>55449536246</v>
      </c>
      <c r="E18" s="265" t="s">
        <v>272</v>
      </c>
      <c r="F18" s="266">
        <f>'Price-List'!O20</f>
        <v>33.35</v>
      </c>
      <c r="G18" s="274">
        <f t="shared" si="4"/>
        <v>36.685000000000002</v>
      </c>
      <c r="H18" s="275">
        <f t="shared" si="2"/>
        <v>30.015000000000001</v>
      </c>
      <c r="J18" s="269"/>
    </row>
    <row r="19" spans="1:11" ht="15.5" x14ac:dyDescent="0.45">
      <c r="A19" s="270" t="s">
        <v>51</v>
      </c>
      <c r="B19" s="271" t="s">
        <v>52</v>
      </c>
      <c r="C19" s="272">
        <f>384614168+1499995255</f>
        <v>1884609423</v>
      </c>
      <c r="D19" s="273">
        <f t="shared" si="3"/>
        <v>24876844383.600002</v>
      </c>
      <c r="E19" s="265" t="s">
        <v>272</v>
      </c>
      <c r="F19" s="266">
        <f>'Price-List'!O21</f>
        <v>13.200000000000001</v>
      </c>
      <c r="G19" s="274">
        <f t="shared" si="4"/>
        <v>14.520000000000003</v>
      </c>
      <c r="H19" s="275">
        <f t="shared" si="2"/>
        <v>11.88</v>
      </c>
      <c r="J19" s="269"/>
      <c r="K19" s="293"/>
    </row>
    <row r="20" spans="1:11" ht="15.5" x14ac:dyDescent="0.45">
      <c r="A20" s="270" t="s">
        <v>53</v>
      </c>
      <c r="B20" s="271" t="s">
        <v>54</v>
      </c>
      <c r="C20" s="272">
        <f>1653621476+35000000+51500000</f>
        <v>1740121476</v>
      </c>
      <c r="D20" s="273">
        <f t="shared" si="3"/>
        <v>123548624796</v>
      </c>
      <c r="E20" s="265" t="s">
        <v>272</v>
      </c>
      <c r="F20" s="266">
        <f>'Price-List'!O22</f>
        <v>71</v>
      </c>
      <c r="G20" s="274">
        <f t="shared" si="4"/>
        <v>78.100000000000009</v>
      </c>
      <c r="H20" s="275">
        <f t="shared" si="2"/>
        <v>63.9</v>
      </c>
      <c r="J20" s="269"/>
    </row>
    <row r="21" spans="1:11" ht="15.5" x14ac:dyDescent="0.45">
      <c r="A21" s="270" t="s">
        <v>280</v>
      </c>
      <c r="B21" s="271" t="s">
        <v>56</v>
      </c>
      <c r="C21" s="272">
        <v>3213462815</v>
      </c>
      <c r="D21" s="273">
        <f t="shared" si="3"/>
        <v>288408287646.25</v>
      </c>
      <c r="E21" s="265" t="s">
        <v>272</v>
      </c>
      <c r="F21" s="266">
        <f>'Price-List'!O23</f>
        <v>89.75</v>
      </c>
      <c r="G21" s="274">
        <f t="shared" si="4"/>
        <v>98.725000000000009</v>
      </c>
      <c r="H21" s="275">
        <f t="shared" si="2"/>
        <v>80.775000000000006</v>
      </c>
      <c r="J21" s="269"/>
    </row>
    <row r="22" spans="1:11" ht="15.5" x14ac:dyDescent="0.45">
      <c r="A22" s="270" t="s">
        <v>57</v>
      </c>
      <c r="B22" s="271" t="s">
        <v>58</v>
      </c>
      <c r="C22" s="272">
        <f>1497745029+149774503</f>
        <v>1647519532</v>
      </c>
      <c r="D22" s="273">
        <f t="shared" si="3"/>
        <v>150336157295</v>
      </c>
      <c r="E22" s="265" t="s">
        <v>272</v>
      </c>
      <c r="F22" s="266">
        <f>'Price-List'!O24</f>
        <v>91.25</v>
      </c>
      <c r="G22" s="274">
        <f t="shared" si="4"/>
        <v>100.37500000000001</v>
      </c>
      <c r="H22" s="275">
        <f t="shared" si="2"/>
        <v>82.125</v>
      </c>
      <c r="J22" s="269"/>
      <c r="K22" s="294"/>
    </row>
    <row r="23" spans="1:11" ht="15.5" x14ac:dyDescent="0.45">
      <c r="A23" s="270" t="s">
        <v>59</v>
      </c>
      <c r="B23" s="271" t="s">
        <v>60</v>
      </c>
      <c r="C23" s="272">
        <v>395321638</v>
      </c>
      <c r="D23" s="273">
        <f t="shared" si="3"/>
        <v>106242690212.5</v>
      </c>
      <c r="E23" s="265" t="s">
        <v>272</v>
      </c>
      <c r="F23" s="266">
        <f>'Price-List'!O25</f>
        <v>268.75</v>
      </c>
      <c r="G23" s="274">
        <f t="shared" si="4"/>
        <v>295.625</v>
      </c>
      <c r="H23" s="275">
        <f>0.9*F23</f>
        <v>241.875</v>
      </c>
      <c r="J23" s="269"/>
    </row>
    <row r="24" spans="1:11" ht="15.5" x14ac:dyDescent="0.45">
      <c r="A24" s="270" t="s">
        <v>61</v>
      </c>
      <c r="B24" s="271" t="s">
        <v>62</v>
      </c>
      <c r="C24" s="272">
        <f>343510572+34351057</f>
        <v>377861629</v>
      </c>
      <c r="D24" s="273">
        <f t="shared" si="3"/>
        <v>130078865783.25</v>
      </c>
      <c r="E24" s="265" t="s">
        <v>272</v>
      </c>
      <c r="F24" s="266">
        <f>'Price-List'!O26</f>
        <v>344.25</v>
      </c>
      <c r="G24" s="274">
        <f t="shared" si="4"/>
        <v>378.67500000000001</v>
      </c>
      <c r="H24" s="275">
        <f t="shared" si="2"/>
        <v>309.82499999999999</v>
      </c>
      <c r="J24" s="269"/>
    </row>
    <row r="25" spans="1:11" ht="15.5" x14ac:dyDescent="0.45">
      <c r="A25" s="270" t="s">
        <v>63</v>
      </c>
      <c r="B25" s="271" t="s">
        <v>64</v>
      </c>
      <c r="C25" s="272">
        <v>5867174695</v>
      </c>
      <c r="D25" s="273">
        <f t="shared" si="3"/>
        <v>227059660696.50003</v>
      </c>
      <c r="E25" s="265" t="s">
        <v>272</v>
      </c>
      <c r="F25" s="266">
        <f>'Price-List'!O27</f>
        <v>38.700000000000003</v>
      </c>
      <c r="G25" s="274">
        <f t="shared" si="4"/>
        <v>42.570000000000007</v>
      </c>
      <c r="H25" s="275">
        <f t="shared" si="2"/>
        <v>34.830000000000005</v>
      </c>
      <c r="J25" s="269"/>
    </row>
    <row r="26" spans="1:11" ht="16" thickBot="1" x14ac:dyDescent="0.5">
      <c r="A26" s="277"/>
      <c r="B26" s="278"/>
      <c r="C26" s="279"/>
      <c r="D26" s="280"/>
      <c r="E26" s="280"/>
      <c r="F26" s="281"/>
      <c r="G26" s="282" t="s">
        <v>278</v>
      </c>
      <c r="H26" s="283"/>
      <c r="J26" s="269"/>
    </row>
    <row r="27" spans="1:11" ht="15" thickBot="1" x14ac:dyDescent="0.4">
      <c r="A27" s="284" t="s">
        <v>65</v>
      </c>
      <c r="B27" s="285"/>
      <c r="C27" s="286"/>
      <c r="D27" s="287"/>
      <c r="E27" s="287"/>
      <c r="F27" s="287"/>
      <c r="G27" s="292" t="s">
        <v>278</v>
      </c>
      <c r="H27" s="291"/>
      <c r="J27" s="269"/>
    </row>
    <row r="28" spans="1:11" ht="15.5" x14ac:dyDescent="0.45">
      <c r="A28" s="270" t="s">
        <v>66</v>
      </c>
      <c r="B28" s="271" t="s">
        <v>67</v>
      </c>
      <c r="C28" s="272">
        <v>123558228</v>
      </c>
      <c r="D28" s="273">
        <f t="shared" ref="D28:D40" si="5">C28*F28</f>
        <v>55601202.600000001</v>
      </c>
      <c r="E28" s="273" t="s">
        <v>272</v>
      </c>
      <c r="F28" s="295">
        <f>'Price-List'!O30</f>
        <v>0.45</v>
      </c>
      <c r="G28" s="274">
        <f>1.1*F28</f>
        <v>0.49500000000000005</v>
      </c>
      <c r="H28" s="275">
        <f>0.9*F28</f>
        <v>0.40500000000000003</v>
      </c>
      <c r="J28" s="269"/>
    </row>
    <row r="29" spans="1:11" ht="15.5" x14ac:dyDescent="0.45">
      <c r="A29" s="270" t="s">
        <v>281</v>
      </c>
      <c r="B29" s="271" t="s">
        <v>70</v>
      </c>
      <c r="C29" s="272">
        <v>210000000</v>
      </c>
      <c r="D29" s="273">
        <f t="shared" si="5"/>
        <v>220500000</v>
      </c>
      <c r="E29" s="273" t="s">
        <v>272</v>
      </c>
      <c r="F29" s="295">
        <f>'Price-List'!O31</f>
        <v>1.05</v>
      </c>
      <c r="G29" s="274">
        <f t="shared" ref="G29:G40" si="6">1.1*F29</f>
        <v>1.1550000000000002</v>
      </c>
      <c r="H29" s="275">
        <f>0.9*F29</f>
        <v>0.94500000000000006</v>
      </c>
      <c r="J29" s="269"/>
    </row>
    <row r="30" spans="1:11" ht="15.5" x14ac:dyDescent="0.45">
      <c r="A30" s="270" t="s">
        <v>71</v>
      </c>
      <c r="B30" s="271" t="s">
        <v>72</v>
      </c>
      <c r="C30" s="272">
        <v>47711481</v>
      </c>
      <c r="D30" s="273">
        <f t="shared" si="5"/>
        <v>341614203.95999998</v>
      </c>
      <c r="E30" s="273" t="s">
        <v>272</v>
      </c>
      <c r="F30" s="295">
        <f>'Price-List'!O32</f>
        <v>7.16</v>
      </c>
      <c r="G30" s="274">
        <f t="shared" si="6"/>
        <v>7.8760000000000012</v>
      </c>
      <c r="H30" s="275">
        <f t="shared" si="2"/>
        <v>6.444</v>
      </c>
      <c r="J30" s="269"/>
    </row>
    <row r="31" spans="1:11" ht="15.5" x14ac:dyDescent="0.45">
      <c r="A31" s="270" t="s">
        <v>282</v>
      </c>
      <c r="B31" s="271" t="s">
        <v>74</v>
      </c>
      <c r="C31" s="272">
        <v>63200000</v>
      </c>
      <c r="D31" s="273">
        <f t="shared" si="5"/>
        <v>294512000</v>
      </c>
      <c r="E31" s="273" t="s">
        <v>272</v>
      </c>
      <c r="F31" s="295">
        <f>'Price-List'!O33</f>
        <v>4.66</v>
      </c>
      <c r="G31" s="274">
        <f t="shared" si="6"/>
        <v>5.1260000000000003</v>
      </c>
      <c r="H31" s="275">
        <f>0.9*F31</f>
        <v>4.194</v>
      </c>
      <c r="J31" s="269"/>
    </row>
    <row r="32" spans="1:11" ht="15.5" x14ac:dyDescent="0.45">
      <c r="A32" s="270" t="s">
        <v>75</v>
      </c>
      <c r="B32" s="271" t="s">
        <v>76</v>
      </c>
      <c r="C32" s="272">
        <f>5681738063+36274366</f>
        <v>5718012429</v>
      </c>
      <c r="D32" s="273">
        <f t="shared" si="5"/>
        <v>33050111839.620003</v>
      </c>
      <c r="E32" s="273" t="s">
        <v>272</v>
      </c>
      <c r="F32" s="295">
        <f>'Price-List'!O34</f>
        <v>5.78</v>
      </c>
      <c r="G32" s="274">
        <f t="shared" si="6"/>
        <v>6.3580000000000005</v>
      </c>
      <c r="H32" s="275">
        <f t="shared" si="2"/>
        <v>5.202</v>
      </c>
      <c r="J32" s="269"/>
      <c r="K32" s="294"/>
    </row>
    <row r="33" spans="1:11" ht="15.5" x14ac:dyDescent="0.45">
      <c r="A33" s="270" t="s">
        <v>283</v>
      </c>
      <c r="B33" s="271" t="s">
        <v>78</v>
      </c>
      <c r="C33" s="272">
        <v>272440473</v>
      </c>
      <c r="D33" s="273">
        <f t="shared" si="5"/>
        <v>771006538.59000003</v>
      </c>
      <c r="E33" s="273" t="s">
        <v>272</v>
      </c>
      <c r="F33" s="295">
        <f>'Price-List'!O35</f>
        <v>2.83</v>
      </c>
      <c r="G33" s="274">
        <f t="shared" si="6"/>
        <v>3.1130000000000004</v>
      </c>
      <c r="H33" s="275">
        <f t="shared" si="2"/>
        <v>2.5470000000000002</v>
      </c>
      <c r="J33" s="269"/>
    </row>
    <row r="34" spans="1:11" ht="15.5" x14ac:dyDescent="0.45">
      <c r="A34" s="270" t="s">
        <v>284</v>
      </c>
      <c r="B34" s="271" t="s">
        <v>80</v>
      </c>
      <c r="C34" s="272">
        <f>38600000+38600000+415000000+861511934</f>
        <v>1353711934</v>
      </c>
      <c r="D34" s="273">
        <f t="shared" si="5"/>
        <v>1868122468.9200001</v>
      </c>
      <c r="E34" s="273" t="s">
        <v>272</v>
      </c>
      <c r="F34" s="295">
        <f>'Price-List'!O36</f>
        <v>1.3800000000000001</v>
      </c>
      <c r="G34" s="274">
        <f t="shared" si="6"/>
        <v>1.5180000000000002</v>
      </c>
      <c r="H34" s="275">
        <f>0.9*F34</f>
        <v>1.2420000000000002</v>
      </c>
      <c r="I34" s="296"/>
      <c r="J34" s="269"/>
      <c r="K34" s="294"/>
    </row>
    <row r="35" spans="1:11" ht="15.5" x14ac:dyDescent="0.45">
      <c r="A35" s="270" t="s">
        <v>81</v>
      </c>
      <c r="B35" s="271" t="s">
        <v>82</v>
      </c>
      <c r="C35" s="272">
        <v>190295163</v>
      </c>
      <c r="D35" s="273">
        <f t="shared" si="5"/>
        <v>2454807602.7000003</v>
      </c>
      <c r="E35" s="273" t="s">
        <v>272</v>
      </c>
      <c r="F35" s="295">
        <f>'Price-List'!O37</f>
        <v>12.9</v>
      </c>
      <c r="G35" s="274">
        <f t="shared" si="6"/>
        <v>14.190000000000001</v>
      </c>
      <c r="H35" s="275">
        <f t="shared" si="2"/>
        <v>11.610000000000001</v>
      </c>
      <c r="I35" s="296"/>
      <c r="J35" s="269"/>
    </row>
    <row r="36" spans="1:11" ht="15.5" x14ac:dyDescent="0.45">
      <c r="A36" s="270" t="s">
        <v>83</v>
      </c>
      <c r="B36" s="271" t="s">
        <v>84</v>
      </c>
      <c r="C36" s="272">
        <v>278342393</v>
      </c>
      <c r="D36" s="273">
        <f t="shared" si="5"/>
        <v>5093665791.9000006</v>
      </c>
      <c r="E36" s="273" t="s">
        <v>272</v>
      </c>
      <c r="F36" s="295">
        <f>'Price-List'!O38</f>
        <v>18.3</v>
      </c>
      <c r="G36" s="274">
        <f t="shared" si="6"/>
        <v>20.130000000000003</v>
      </c>
      <c r="H36" s="275">
        <f>0.9*F36</f>
        <v>16.470000000000002</v>
      </c>
      <c r="J36" s="269"/>
    </row>
    <row r="37" spans="1:11" ht="15.5" x14ac:dyDescent="0.45">
      <c r="A37" s="270" t="s">
        <v>85</v>
      </c>
      <c r="B37" s="271" t="s">
        <v>86</v>
      </c>
      <c r="C37" s="272">
        <v>81731808</v>
      </c>
      <c r="D37" s="273">
        <f t="shared" si="5"/>
        <v>498564028.80000007</v>
      </c>
      <c r="E37" s="273" t="s">
        <v>272</v>
      </c>
      <c r="F37" s="295">
        <f>'Price-List'!O39</f>
        <v>6.1000000000000005</v>
      </c>
      <c r="G37" s="274">
        <f t="shared" si="6"/>
        <v>6.7100000000000009</v>
      </c>
      <c r="H37" s="275">
        <f t="shared" si="2"/>
        <v>5.49</v>
      </c>
      <c r="J37" s="269"/>
    </row>
    <row r="38" spans="1:11" ht="15.5" x14ac:dyDescent="0.45">
      <c r="A38" s="270" t="s">
        <v>285</v>
      </c>
      <c r="B38" s="271" t="s">
        <v>88</v>
      </c>
      <c r="C38" s="272">
        <v>182174108</v>
      </c>
      <c r="D38" s="273">
        <f t="shared" si="5"/>
        <v>2869242201</v>
      </c>
      <c r="E38" s="273" t="s">
        <v>272</v>
      </c>
      <c r="F38" s="295">
        <f>'Price-List'!O40</f>
        <v>15.75</v>
      </c>
      <c r="G38" s="274">
        <f t="shared" si="6"/>
        <v>17.325000000000003</v>
      </c>
      <c r="H38" s="275">
        <f t="shared" si="2"/>
        <v>14.175000000000001</v>
      </c>
      <c r="J38" s="269"/>
    </row>
    <row r="39" spans="1:11" ht="15.5" x14ac:dyDescent="0.45">
      <c r="A39" s="270" t="s">
        <v>89</v>
      </c>
      <c r="B39" s="271" t="s">
        <v>90</v>
      </c>
      <c r="C39" s="272">
        <v>364959616</v>
      </c>
      <c r="D39" s="273">
        <f t="shared" si="5"/>
        <v>543789827.84000003</v>
      </c>
      <c r="E39" s="273" t="s">
        <v>272</v>
      </c>
      <c r="F39" s="295">
        <f>'Price-List'!O41</f>
        <v>1.49</v>
      </c>
      <c r="G39" s="274">
        <f t="shared" si="6"/>
        <v>1.639</v>
      </c>
      <c r="H39" s="275">
        <f t="shared" si="2"/>
        <v>1.341</v>
      </c>
      <c r="J39" s="269"/>
    </row>
    <row r="40" spans="1:11" ht="15.5" x14ac:dyDescent="0.45">
      <c r="A40" s="270" t="s">
        <v>91</v>
      </c>
      <c r="B40" s="271" t="s">
        <v>92</v>
      </c>
      <c r="C40" s="272">
        <v>432155985</v>
      </c>
      <c r="D40" s="273">
        <f t="shared" si="5"/>
        <v>877276649.55000007</v>
      </c>
      <c r="E40" s="273" t="s">
        <v>272</v>
      </c>
      <c r="F40" s="295">
        <f>'Price-List'!O42</f>
        <v>2.0300000000000002</v>
      </c>
      <c r="G40" s="274">
        <f t="shared" si="6"/>
        <v>2.2330000000000005</v>
      </c>
      <c r="H40" s="275">
        <f>0.9*F40</f>
        <v>1.8270000000000002</v>
      </c>
      <c r="J40" s="269"/>
    </row>
    <row r="41" spans="1:11" ht="16" thickBot="1" x14ac:dyDescent="0.5">
      <c r="A41" s="277"/>
      <c r="B41" s="278"/>
      <c r="C41" s="279"/>
      <c r="D41" s="280"/>
      <c r="E41" s="280"/>
      <c r="F41" s="281"/>
      <c r="G41" s="282" t="s">
        <v>278</v>
      </c>
      <c r="H41" s="283"/>
      <c r="J41" s="269"/>
    </row>
    <row r="42" spans="1:11" ht="15" thickBot="1" x14ac:dyDescent="0.4">
      <c r="A42" s="284" t="s">
        <v>93</v>
      </c>
      <c r="B42" s="285"/>
      <c r="C42" s="286"/>
      <c r="D42" s="287"/>
      <c r="E42" s="287"/>
      <c r="F42" s="287"/>
      <c r="G42" s="292" t="s">
        <v>278</v>
      </c>
      <c r="H42" s="291"/>
      <c r="J42" s="269"/>
    </row>
    <row r="43" spans="1:11" ht="15.5" x14ac:dyDescent="0.45">
      <c r="A43" s="262" t="s">
        <v>95</v>
      </c>
      <c r="B43" s="263" t="s">
        <v>96</v>
      </c>
      <c r="C43" s="297">
        <v>959940200</v>
      </c>
      <c r="D43" s="265">
        <f>C43*F43</f>
        <v>5327668110</v>
      </c>
      <c r="E43" s="273" t="s">
        <v>272</v>
      </c>
      <c r="F43" s="266">
        <f>'Price-List'!O45</f>
        <v>5.55</v>
      </c>
      <c r="G43" s="267">
        <f>1.1*F43</f>
        <v>6.1050000000000004</v>
      </c>
      <c r="H43" s="268">
        <f t="shared" si="2"/>
        <v>4.9950000000000001</v>
      </c>
      <c r="J43" s="269"/>
    </row>
    <row r="44" spans="1:11" ht="15.5" x14ac:dyDescent="0.45">
      <c r="A44" s="270" t="s">
        <v>97</v>
      </c>
      <c r="B44" s="271" t="s">
        <v>98</v>
      </c>
      <c r="C44" s="272">
        <v>362959275</v>
      </c>
      <c r="D44" s="273">
        <f>C44*F44</f>
        <v>19599800850</v>
      </c>
      <c r="E44" s="273" t="s">
        <v>272</v>
      </c>
      <c r="F44" s="266">
        <f>'Price-List'!O46</f>
        <v>54</v>
      </c>
      <c r="G44" s="274">
        <f>1.1*F44</f>
        <v>59.400000000000006</v>
      </c>
      <c r="H44" s="275">
        <f t="shared" si="2"/>
        <v>48.6</v>
      </c>
      <c r="J44" s="269"/>
    </row>
    <row r="45" spans="1:11" ht="15.5" x14ac:dyDescent="0.45">
      <c r="A45" s="270" t="s">
        <v>99</v>
      </c>
      <c r="B45" s="271" t="s">
        <v>100</v>
      </c>
      <c r="C45" s="272">
        <f>71181000+71181000</f>
        <v>142362000</v>
      </c>
      <c r="D45" s="273">
        <f>C45*F45</f>
        <v>8755263000</v>
      </c>
      <c r="E45" s="273" t="s">
        <v>272</v>
      </c>
      <c r="F45" s="266">
        <f>'Price-List'!O47</f>
        <v>61.5</v>
      </c>
      <c r="G45" s="274">
        <f>1.1*F45</f>
        <v>67.650000000000006</v>
      </c>
      <c r="H45" s="275">
        <f t="shared" si="2"/>
        <v>55.35</v>
      </c>
      <c r="J45" s="269"/>
    </row>
    <row r="46" spans="1:11" ht="15.5" x14ac:dyDescent="0.45">
      <c r="A46" s="270" t="s">
        <v>101</v>
      </c>
      <c r="B46" s="271" t="s">
        <v>102</v>
      </c>
      <c r="C46" s="272">
        <v>253125000</v>
      </c>
      <c r="D46" s="273">
        <f>C46*F46</f>
        <v>432843750</v>
      </c>
      <c r="E46" s="273" t="s">
        <v>272</v>
      </c>
      <c r="F46" s="266">
        <f>'Price-List'!O48</f>
        <v>1.71</v>
      </c>
      <c r="G46" s="274">
        <f>1.1*F46</f>
        <v>1.881</v>
      </c>
      <c r="H46" s="275">
        <f t="shared" si="2"/>
        <v>1.5389999999999999</v>
      </c>
      <c r="J46" s="269"/>
    </row>
    <row r="47" spans="1:11" ht="15.5" x14ac:dyDescent="0.45">
      <c r="A47" s="270" t="s">
        <v>103</v>
      </c>
      <c r="B47" s="271" t="s">
        <v>104</v>
      </c>
      <c r="C47" s="272">
        <v>90000000</v>
      </c>
      <c r="D47" s="273">
        <f>C47*F47</f>
        <v>11047500000</v>
      </c>
      <c r="E47" s="273" t="s">
        <v>272</v>
      </c>
      <c r="F47" s="266">
        <f>'Price-List'!O49</f>
        <v>122.75</v>
      </c>
      <c r="G47" s="274">
        <f>1.1*F47</f>
        <v>135.02500000000001</v>
      </c>
      <c r="H47" s="275">
        <f t="shared" si="2"/>
        <v>110.47500000000001</v>
      </c>
      <c r="J47" s="269"/>
    </row>
    <row r="48" spans="1:11" ht="16" thickBot="1" x14ac:dyDescent="0.5">
      <c r="A48" s="277"/>
      <c r="B48" s="278"/>
      <c r="C48" s="279"/>
      <c r="D48" s="280"/>
      <c r="E48" s="280"/>
      <c r="F48" s="281"/>
      <c r="G48" s="282" t="s">
        <v>278</v>
      </c>
      <c r="H48" s="283"/>
      <c r="J48" s="269"/>
    </row>
    <row r="49" spans="1:12" ht="15" thickBot="1" x14ac:dyDescent="0.4">
      <c r="A49" s="284" t="s">
        <v>105</v>
      </c>
      <c r="B49" s="285"/>
      <c r="C49" s="286"/>
      <c r="D49" s="287"/>
      <c r="E49" s="287"/>
      <c r="F49" s="287"/>
      <c r="G49" s="292" t="s">
        <v>278</v>
      </c>
      <c r="H49" s="291"/>
      <c r="J49" s="269"/>
    </row>
    <row r="50" spans="1:12" ht="15.5" x14ac:dyDescent="0.45">
      <c r="A50" s="262" t="s">
        <v>106</v>
      </c>
      <c r="B50" s="263" t="s">
        <v>107</v>
      </c>
      <c r="C50" s="264">
        <v>6594522339</v>
      </c>
      <c r="D50" s="265">
        <f>C50*F50</f>
        <v>73858650196.800003</v>
      </c>
      <c r="E50" s="273" t="s">
        <v>272</v>
      </c>
      <c r="F50" s="266">
        <f>'Price-List'!O52</f>
        <v>11.200000000000001</v>
      </c>
      <c r="G50" s="267">
        <f t="shared" ref="G50:G56" si="7">1.1*F50</f>
        <v>12.320000000000002</v>
      </c>
      <c r="H50" s="268">
        <f t="shared" si="2"/>
        <v>10.080000000000002</v>
      </c>
      <c r="J50" s="269"/>
    </row>
    <row r="51" spans="1:12" ht="15.5" x14ac:dyDescent="0.45">
      <c r="A51" s="277" t="s">
        <v>108</v>
      </c>
      <c r="B51" s="271" t="s">
        <v>109</v>
      </c>
      <c r="C51" s="298">
        <v>18173299000</v>
      </c>
      <c r="D51" s="273">
        <f>C51*F51</f>
        <v>165013554920</v>
      </c>
      <c r="E51" s="273" t="s">
        <v>272</v>
      </c>
      <c r="F51" s="266">
        <f>'Price-List'!O53</f>
        <v>9.08</v>
      </c>
      <c r="G51" s="274">
        <f>1.1*F51</f>
        <v>9.9880000000000013</v>
      </c>
      <c r="H51" s="275">
        <f>0.9*F51</f>
        <v>8.1720000000000006</v>
      </c>
      <c r="J51" s="269"/>
    </row>
    <row r="52" spans="1:12" ht="15.5" x14ac:dyDescent="0.45">
      <c r="A52" s="270" t="s">
        <v>110</v>
      </c>
      <c r="B52" s="271" t="s">
        <v>111</v>
      </c>
      <c r="C52" s="272">
        <v>1951467045</v>
      </c>
      <c r="D52" s="273">
        <f>C52*F52</f>
        <v>40785661240.500008</v>
      </c>
      <c r="E52" s="273" t="s">
        <v>272</v>
      </c>
      <c r="F52" s="266">
        <f>'Price-List'!O54</f>
        <v>20.900000000000002</v>
      </c>
      <c r="G52" s="274">
        <f t="shared" si="7"/>
        <v>22.990000000000006</v>
      </c>
      <c r="H52" s="275">
        <f t="shared" si="2"/>
        <v>18.810000000000002</v>
      </c>
      <c r="J52" s="269"/>
    </row>
    <row r="53" spans="1:12" ht="15.5" x14ac:dyDescent="0.45">
      <c r="A53" s="270" t="s">
        <v>112</v>
      </c>
      <c r="B53" s="271" t="s">
        <v>113</v>
      </c>
      <c r="C53" s="272"/>
      <c r="D53" s="273"/>
      <c r="E53" s="273" t="s">
        <v>272</v>
      </c>
      <c r="F53" s="266">
        <f>'Price-List'!O55</f>
        <v>5</v>
      </c>
      <c r="G53" s="274">
        <f t="shared" si="7"/>
        <v>5.5</v>
      </c>
      <c r="H53" s="275"/>
      <c r="J53" s="269"/>
    </row>
    <row r="54" spans="1:12" ht="15.5" x14ac:dyDescent="0.45">
      <c r="A54" s="270" t="s">
        <v>114</v>
      </c>
      <c r="B54" s="271" t="s">
        <v>115</v>
      </c>
      <c r="C54" s="272"/>
      <c r="D54" s="273"/>
      <c r="E54" s="273" t="s">
        <v>272</v>
      </c>
      <c r="F54" s="266">
        <f>'Price-List'!O56</f>
        <v>6</v>
      </c>
      <c r="G54" s="274">
        <f t="shared" si="7"/>
        <v>6.6000000000000005</v>
      </c>
      <c r="H54" s="275"/>
      <c r="J54" s="269"/>
    </row>
    <row r="55" spans="1:12" ht="15.5" x14ac:dyDescent="0.45">
      <c r="A55" s="270" t="s">
        <v>116</v>
      </c>
      <c r="B55" s="271" t="s">
        <v>117</v>
      </c>
      <c r="C55" s="272">
        <v>175065000</v>
      </c>
      <c r="D55" s="273">
        <f>C55*F55</f>
        <v>7545301500</v>
      </c>
      <c r="E55" s="273" t="s">
        <v>272</v>
      </c>
      <c r="F55" s="266">
        <f>'Price-List'!O57</f>
        <v>43.1</v>
      </c>
      <c r="G55" s="274">
        <f t="shared" si="7"/>
        <v>47.410000000000004</v>
      </c>
      <c r="H55" s="275">
        <f t="shared" si="2"/>
        <v>38.79</v>
      </c>
      <c r="J55" s="269"/>
    </row>
    <row r="56" spans="1:12" ht="15.5" x14ac:dyDescent="0.45">
      <c r="A56" s="270" t="s">
        <v>118</v>
      </c>
      <c r="B56" s="271" t="s">
        <v>119</v>
      </c>
      <c r="C56" s="272">
        <v>1623878005</v>
      </c>
      <c r="D56" s="273">
        <f>C56*F56</f>
        <v>10522729472.400002</v>
      </c>
      <c r="E56" s="273" t="s">
        <v>272</v>
      </c>
      <c r="F56" s="266">
        <f>'Price-List'!O58</f>
        <v>6.48</v>
      </c>
      <c r="G56" s="274">
        <f t="shared" si="7"/>
        <v>7.128000000000001</v>
      </c>
      <c r="H56" s="275">
        <f t="shared" si="2"/>
        <v>5.8320000000000007</v>
      </c>
      <c r="J56" s="269"/>
    </row>
    <row r="57" spans="1:12" ht="16" thickBot="1" x14ac:dyDescent="0.5">
      <c r="A57" s="277"/>
      <c r="B57" s="278"/>
      <c r="C57" s="279"/>
      <c r="D57" s="280"/>
      <c r="E57" s="280"/>
      <c r="F57" s="281"/>
      <c r="G57" s="282" t="s">
        <v>278</v>
      </c>
      <c r="H57" s="283"/>
      <c r="J57" s="269"/>
      <c r="K57" s="276"/>
    </row>
    <row r="58" spans="1:12" ht="15" thickBot="1" x14ac:dyDescent="0.4">
      <c r="A58" s="284" t="s">
        <v>120</v>
      </c>
      <c r="B58" s="285"/>
      <c r="C58" s="286"/>
      <c r="D58" s="287"/>
      <c r="E58" s="287"/>
      <c r="F58" s="287"/>
      <c r="G58" s="292" t="s">
        <v>278</v>
      </c>
      <c r="H58" s="291"/>
      <c r="J58" s="269"/>
    </row>
    <row r="59" spans="1:12" ht="15.5" x14ac:dyDescent="0.45">
      <c r="A59" s="262" t="s">
        <v>121</v>
      </c>
      <c r="B59" s="263" t="s">
        <v>122</v>
      </c>
      <c r="C59" s="264">
        <v>2523486816</v>
      </c>
      <c r="D59" s="265">
        <f t="shared" ref="D59:D64" si="8">C59*F59</f>
        <v>46053634392</v>
      </c>
      <c r="E59" s="273" t="s">
        <v>272</v>
      </c>
      <c r="F59" s="266">
        <f>'Price-List'!O61</f>
        <v>18.25</v>
      </c>
      <c r="G59" s="267">
        <f t="shared" ref="G59:G64" si="9">1.1*F59</f>
        <v>20.075000000000003</v>
      </c>
      <c r="H59" s="268">
        <f t="shared" si="2"/>
        <v>16.425000000000001</v>
      </c>
      <c r="J59" s="269"/>
      <c r="L59" s="276"/>
    </row>
    <row r="60" spans="1:12" ht="15.5" x14ac:dyDescent="0.45">
      <c r="A60" s="270" t="s">
        <v>286</v>
      </c>
      <c r="B60" s="271" t="s">
        <v>124</v>
      </c>
      <c r="C60" s="272">
        <f>2615538528+261553587</f>
        <v>2877092115</v>
      </c>
      <c r="D60" s="273">
        <f t="shared" si="8"/>
        <v>13464791098.199999</v>
      </c>
      <c r="E60" s="273" t="s">
        <v>272</v>
      </c>
      <c r="F60" s="266">
        <f>'Price-List'!O62</f>
        <v>4.68</v>
      </c>
      <c r="G60" s="274">
        <f t="shared" si="9"/>
        <v>5.1479999999999997</v>
      </c>
      <c r="H60" s="275">
        <f t="shared" si="2"/>
        <v>4.2119999999999997</v>
      </c>
      <c r="J60" s="269"/>
    </row>
    <row r="61" spans="1:12" ht="15.5" x14ac:dyDescent="0.45">
      <c r="A61" s="270" t="s">
        <v>125</v>
      </c>
      <c r="B61" s="271" t="s">
        <v>126</v>
      </c>
      <c r="C61" s="272">
        <v>72472950</v>
      </c>
      <c r="D61" s="273">
        <f t="shared" si="8"/>
        <v>30547348425</v>
      </c>
      <c r="E61" s="273" t="s">
        <v>272</v>
      </c>
      <c r="F61" s="266">
        <f>'Price-List'!O63</f>
        <v>421.5</v>
      </c>
      <c r="G61" s="274">
        <f t="shared" si="9"/>
        <v>463.65000000000003</v>
      </c>
      <c r="H61" s="275">
        <f t="shared" si="2"/>
        <v>379.35</v>
      </c>
      <c r="J61" s="269"/>
    </row>
    <row r="62" spans="1:12" ht="15.5" x14ac:dyDescent="0.45">
      <c r="A62" s="270" t="s">
        <v>127</v>
      </c>
      <c r="B62" s="271" t="s">
        <v>128</v>
      </c>
      <c r="C62" s="272">
        <v>5599592544</v>
      </c>
      <c r="D62" s="273">
        <f t="shared" si="8"/>
        <v>20942476114.560001</v>
      </c>
      <c r="E62" s="273" t="s">
        <v>272</v>
      </c>
      <c r="F62" s="266">
        <f>'Price-List'!O64</f>
        <v>3.74</v>
      </c>
      <c r="G62" s="274">
        <f t="shared" si="9"/>
        <v>4.1140000000000008</v>
      </c>
      <c r="H62" s="275">
        <f t="shared" si="2"/>
        <v>3.3660000000000001</v>
      </c>
      <c r="J62" s="269"/>
    </row>
    <row r="63" spans="1:12" ht="15.5" x14ac:dyDescent="0.45">
      <c r="A63" s="270" t="s">
        <v>287</v>
      </c>
      <c r="B63" s="271" t="s">
        <v>130</v>
      </c>
      <c r="C63" s="272">
        <v>535707499</v>
      </c>
      <c r="D63" s="273">
        <f t="shared" si="8"/>
        <v>4907080690.8400002</v>
      </c>
      <c r="E63" s="273" t="s">
        <v>272</v>
      </c>
      <c r="F63" s="266">
        <f>'Price-List'!O65</f>
        <v>9.16</v>
      </c>
      <c r="G63" s="274">
        <f t="shared" si="9"/>
        <v>10.076000000000001</v>
      </c>
      <c r="H63" s="275">
        <f t="shared" si="2"/>
        <v>8.2439999999999998</v>
      </c>
      <c r="J63" s="269"/>
    </row>
    <row r="64" spans="1:12" ht="15.5" x14ac:dyDescent="0.45">
      <c r="A64" s="270" t="s">
        <v>131</v>
      </c>
      <c r="B64" s="271" t="s">
        <v>132</v>
      </c>
      <c r="C64" s="272">
        <v>543420465</v>
      </c>
      <c r="D64" s="273">
        <f t="shared" si="8"/>
        <v>5173362826.8000002</v>
      </c>
      <c r="E64" s="273" t="s">
        <v>272</v>
      </c>
      <c r="F64" s="266">
        <f>'Price-List'!O66</f>
        <v>9.52</v>
      </c>
      <c r="G64" s="274">
        <f t="shared" si="9"/>
        <v>10.472</v>
      </c>
      <c r="H64" s="275">
        <f t="shared" si="2"/>
        <v>8.5679999999999996</v>
      </c>
      <c r="J64" s="269"/>
    </row>
    <row r="65" spans="1:10" ht="16" thickBot="1" x14ac:dyDescent="0.5">
      <c r="A65" s="277"/>
      <c r="B65" s="278"/>
      <c r="C65" s="279"/>
      <c r="D65" s="280"/>
      <c r="E65" s="280"/>
      <c r="F65" s="281"/>
      <c r="G65" s="282" t="s">
        <v>278</v>
      </c>
      <c r="H65" s="283"/>
      <c r="J65" s="269"/>
    </row>
    <row r="66" spans="1:10" ht="15" thickBot="1" x14ac:dyDescent="0.4">
      <c r="A66" s="284" t="s">
        <v>133</v>
      </c>
      <c r="B66" s="285"/>
      <c r="C66" s="286"/>
      <c r="D66" s="287"/>
      <c r="E66" s="287"/>
      <c r="F66" s="287"/>
      <c r="G66" s="292" t="s">
        <v>278</v>
      </c>
      <c r="H66" s="291"/>
      <c r="J66" s="269"/>
    </row>
    <row r="67" spans="1:10" ht="15.5" x14ac:dyDescent="0.45">
      <c r="A67" s="262" t="s">
        <v>288</v>
      </c>
      <c r="B67" s="263" t="s">
        <v>135</v>
      </c>
      <c r="C67" s="264">
        <v>665441714</v>
      </c>
      <c r="D67" s="265">
        <f>C67*F67</f>
        <v>11379053309.400002</v>
      </c>
      <c r="E67" s="273" t="s">
        <v>272</v>
      </c>
      <c r="F67" s="266">
        <f>'Price-List'!O69</f>
        <v>17.100000000000001</v>
      </c>
      <c r="G67" s="267">
        <f>1.1*F67</f>
        <v>18.810000000000002</v>
      </c>
      <c r="H67" s="268">
        <f t="shared" si="2"/>
        <v>15.390000000000002</v>
      </c>
      <c r="J67" s="269"/>
    </row>
    <row r="68" spans="1:10" ht="15.5" x14ac:dyDescent="0.45">
      <c r="A68" s="270" t="s">
        <v>136</v>
      </c>
      <c r="B68" s="271" t="s">
        <v>137</v>
      </c>
      <c r="C68" s="272">
        <v>405255320</v>
      </c>
      <c r="D68" s="273">
        <f>C68*F68</f>
        <v>470096171.19999999</v>
      </c>
      <c r="E68" s="273" t="s">
        <v>272</v>
      </c>
      <c r="F68" s="266">
        <f>'Price-List'!O70</f>
        <v>1.1599999999999999</v>
      </c>
      <c r="G68" s="274">
        <f>1.1*F68</f>
        <v>1.276</v>
      </c>
      <c r="H68" s="275">
        <f t="shared" si="2"/>
        <v>1.044</v>
      </c>
      <c r="J68" s="269"/>
    </row>
    <row r="69" spans="1:10" ht="15.5" x14ac:dyDescent="0.45">
      <c r="A69" s="270" t="s">
        <v>289</v>
      </c>
      <c r="B69" s="271" t="s">
        <v>139</v>
      </c>
      <c r="C69" s="272">
        <v>102272</v>
      </c>
      <c r="D69" s="273">
        <f>C69*F69</f>
        <v>138578560</v>
      </c>
      <c r="E69" s="273" t="s">
        <v>272</v>
      </c>
      <c r="F69" s="266">
        <f>'Price-List'!O71</f>
        <v>1355</v>
      </c>
      <c r="G69" s="274">
        <f>1.1*F69</f>
        <v>1490.5000000000002</v>
      </c>
      <c r="H69" s="275">
        <f t="shared" si="2"/>
        <v>1219.5</v>
      </c>
      <c r="J69" s="269"/>
    </row>
    <row r="70" spans="1:10" ht="15.5" x14ac:dyDescent="0.45">
      <c r="A70" s="270" t="s">
        <v>290</v>
      </c>
      <c r="B70" s="271" t="s">
        <v>141</v>
      </c>
      <c r="C70" s="272">
        <v>40000000</v>
      </c>
      <c r="D70" s="273">
        <f>C70*F70</f>
        <v>332000000</v>
      </c>
      <c r="E70" s="273" t="s">
        <v>272</v>
      </c>
      <c r="F70" s="266">
        <f>'Price-List'!O72</f>
        <v>8.3000000000000007</v>
      </c>
      <c r="G70" s="274">
        <f>1.1*F70</f>
        <v>9.1300000000000008</v>
      </c>
      <c r="H70" s="275">
        <f t="shared" si="2"/>
        <v>7.4700000000000006</v>
      </c>
      <c r="J70" s="269"/>
    </row>
    <row r="71" spans="1:10" ht="15.5" x14ac:dyDescent="0.45">
      <c r="A71" s="270" t="s">
        <v>291</v>
      </c>
      <c r="B71" s="271" t="s">
        <v>143</v>
      </c>
      <c r="C71" s="299">
        <f>375202766+752825555</f>
        <v>1128028321</v>
      </c>
      <c r="D71" s="273">
        <f>C71*F71</f>
        <v>1263391719.5200002</v>
      </c>
      <c r="E71" s="273" t="s">
        <v>272</v>
      </c>
      <c r="F71" s="266">
        <f>'Price-List'!O73</f>
        <v>1.1200000000000001</v>
      </c>
      <c r="G71" s="274">
        <f>1.1*F71</f>
        <v>1.2320000000000002</v>
      </c>
      <c r="H71" s="275">
        <f t="shared" ref="H71:H88" si="10">0.9*F71</f>
        <v>1.0080000000000002</v>
      </c>
      <c r="J71" s="269"/>
    </row>
    <row r="72" spans="1:10" ht="16" thickBot="1" x14ac:dyDescent="0.5">
      <c r="A72" s="277"/>
      <c r="B72" s="278"/>
      <c r="C72" s="279"/>
      <c r="D72" s="280"/>
      <c r="E72" s="280"/>
      <c r="F72" s="281"/>
      <c r="G72" s="282" t="s">
        <v>278</v>
      </c>
      <c r="H72" s="283"/>
      <c r="J72" s="269"/>
    </row>
    <row r="73" spans="1:10" ht="15" thickBot="1" x14ac:dyDescent="0.4">
      <c r="A73" s="284" t="s">
        <v>144</v>
      </c>
      <c r="B73" s="285"/>
      <c r="C73" s="286"/>
      <c r="D73" s="287"/>
      <c r="E73" s="287"/>
      <c r="F73" s="287"/>
      <c r="G73" s="292" t="s">
        <v>278</v>
      </c>
      <c r="H73" s="291"/>
      <c r="J73" s="269"/>
    </row>
    <row r="74" spans="1:10" ht="15.5" x14ac:dyDescent="0.45">
      <c r="A74" s="262" t="s">
        <v>145</v>
      </c>
      <c r="B74" s="263" t="s">
        <v>146</v>
      </c>
      <c r="C74" s="264">
        <v>259500791</v>
      </c>
      <c r="D74" s="265">
        <f>C74*F74</f>
        <v>6941646159.25</v>
      </c>
      <c r="E74" s="273" t="s">
        <v>272</v>
      </c>
      <c r="F74" s="266">
        <f>'Price-List'!O76</f>
        <v>26.75</v>
      </c>
      <c r="G74" s="267">
        <f>1.1*F74</f>
        <v>29.425000000000001</v>
      </c>
      <c r="H74" s="268">
        <f t="shared" si="10"/>
        <v>24.074999999999999</v>
      </c>
      <c r="J74" s="269"/>
    </row>
    <row r="75" spans="1:10" ht="16" thickBot="1" x14ac:dyDescent="0.5">
      <c r="A75" s="277"/>
      <c r="B75" s="278"/>
      <c r="C75" s="279"/>
      <c r="D75" s="280"/>
      <c r="E75" s="280"/>
      <c r="F75" s="281"/>
      <c r="G75" s="282"/>
      <c r="H75" s="283"/>
      <c r="J75" s="269"/>
    </row>
    <row r="76" spans="1:10" ht="15" thickBot="1" x14ac:dyDescent="0.4">
      <c r="A76" s="284" t="s">
        <v>147</v>
      </c>
      <c r="B76" s="285"/>
      <c r="C76" s="286"/>
      <c r="D76" s="287"/>
      <c r="E76" s="287"/>
      <c r="F76" s="287"/>
      <c r="G76" s="292"/>
      <c r="H76" s="291"/>
      <c r="J76" s="269"/>
    </row>
    <row r="77" spans="1:10" ht="15.5" x14ac:dyDescent="0.45">
      <c r="A77" s="270" t="s">
        <v>292</v>
      </c>
      <c r="B77" s="271" t="s">
        <v>149</v>
      </c>
      <c r="C77" s="272">
        <v>19525446</v>
      </c>
      <c r="D77" s="273">
        <f t="shared" ref="D77:D85" si="11">C77*F77</f>
        <v>3646377040.5</v>
      </c>
      <c r="E77" s="273" t="s">
        <v>272</v>
      </c>
      <c r="F77" s="295">
        <f>'Price-List'!O79</f>
        <v>186.75</v>
      </c>
      <c r="G77" s="274">
        <f>1.1*F77</f>
        <v>205.42500000000001</v>
      </c>
      <c r="H77" s="275">
        <f t="shared" si="10"/>
        <v>168.07500000000002</v>
      </c>
      <c r="J77" s="269"/>
    </row>
    <row r="78" spans="1:10" ht="15.5" x14ac:dyDescent="0.45">
      <c r="A78" s="270" t="s">
        <v>150</v>
      </c>
      <c r="B78" s="271" t="s">
        <v>151</v>
      </c>
      <c r="C78" s="272">
        <v>100000000</v>
      </c>
      <c r="D78" s="273">
        <f t="shared" si="11"/>
        <v>55700000000</v>
      </c>
      <c r="E78" s="273" t="s">
        <v>272</v>
      </c>
      <c r="F78" s="295">
        <f>'Price-List'!O80</f>
        <v>557</v>
      </c>
      <c r="G78" s="274">
        <f t="shared" ref="G78:G85" si="12">1.1*F78</f>
        <v>612.70000000000005</v>
      </c>
      <c r="H78" s="275">
        <f t="shared" si="10"/>
        <v>501.3</v>
      </c>
      <c r="J78" s="269"/>
    </row>
    <row r="79" spans="1:10" ht="15.5" x14ac:dyDescent="0.45">
      <c r="A79" s="270" t="s">
        <v>293</v>
      </c>
      <c r="B79" s="271" t="s">
        <v>153</v>
      </c>
      <c r="C79" s="272">
        <v>254851985</v>
      </c>
      <c r="D79" s="273">
        <f t="shared" si="11"/>
        <v>10321505392.5</v>
      </c>
      <c r="E79" s="273" t="s">
        <v>272</v>
      </c>
      <c r="F79" s="295">
        <f>'Price-List'!O81</f>
        <v>40.5</v>
      </c>
      <c r="G79" s="274">
        <f t="shared" si="12"/>
        <v>44.550000000000004</v>
      </c>
      <c r="H79" s="275">
        <f t="shared" si="10"/>
        <v>36.450000000000003</v>
      </c>
      <c r="J79" s="269"/>
    </row>
    <row r="80" spans="1:10" ht="15.5" x14ac:dyDescent="0.45">
      <c r="A80" s="270" t="s">
        <v>294</v>
      </c>
      <c r="B80" s="271" t="s">
        <v>155</v>
      </c>
      <c r="C80" s="272">
        <v>790774356</v>
      </c>
      <c r="D80" s="273">
        <f t="shared" si="11"/>
        <v>216079092777</v>
      </c>
      <c r="E80" s="273" t="s">
        <v>272</v>
      </c>
      <c r="F80" s="295">
        <f>'Price-List'!O82</f>
        <v>273.25</v>
      </c>
      <c r="G80" s="274">
        <f t="shared" si="12"/>
        <v>300.57500000000005</v>
      </c>
      <c r="H80" s="275">
        <f t="shared" si="10"/>
        <v>245.92500000000001</v>
      </c>
      <c r="J80" s="269"/>
    </row>
    <row r="81" spans="1:10" ht="15.5" x14ac:dyDescent="0.45">
      <c r="A81" s="270" t="s">
        <v>156</v>
      </c>
      <c r="B81" s="271" t="s">
        <v>157</v>
      </c>
      <c r="C81" s="272">
        <v>178053486</v>
      </c>
      <c r="D81" s="273">
        <f t="shared" si="11"/>
        <v>377473390.31999999</v>
      </c>
      <c r="E81" s="273" t="s">
        <v>272</v>
      </c>
      <c r="F81" s="295">
        <f>'Price-List'!O83</f>
        <v>2.12</v>
      </c>
      <c r="G81" s="274">
        <f t="shared" si="12"/>
        <v>2.3320000000000003</v>
      </c>
      <c r="H81" s="275">
        <f>0.9*F81</f>
        <v>1.9080000000000001</v>
      </c>
      <c r="J81" s="269"/>
    </row>
    <row r="82" spans="1:10" ht="15.5" x14ac:dyDescent="0.45">
      <c r="A82" s="270" t="s">
        <v>295</v>
      </c>
      <c r="B82" s="271" t="s">
        <v>159</v>
      </c>
      <c r="C82" s="272">
        <v>12868124</v>
      </c>
      <c r="D82" s="273">
        <f t="shared" si="11"/>
        <v>1602081438</v>
      </c>
      <c r="E82" s="273" t="s">
        <v>272</v>
      </c>
      <c r="F82" s="295">
        <f>'Price-List'!O84</f>
        <v>124.5</v>
      </c>
      <c r="G82" s="274">
        <f t="shared" si="12"/>
        <v>136.95000000000002</v>
      </c>
      <c r="H82" s="275">
        <f t="shared" si="10"/>
        <v>112.05</v>
      </c>
      <c r="J82" s="269"/>
    </row>
    <row r="83" spans="1:10" ht="15.5" x14ac:dyDescent="0.45">
      <c r="A83" s="270" t="s">
        <v>160</v>
      </c>
      <c r="B83" s="271" t="s">
        <v>161</v>
      </c>
      <c r="C83" s="272">
        <v>1530000000</v>
      </c>
      <c r="D83" s="273">
        <f t="shared" si="11"/>
        <v>413100000</v>
      </c>
      <c r="E83" s="273" t="s">
        <v>272</v>
      </c>
      <c r="F83" s="295">
        <f>'Price-List'!O85</f>
        <v>0.27</v>
      </c>
      <c r="G83" s="274">
        <f t="shared" si="12"/>
        <v>0.29700000000000004</v>
      </c>
      <c r="H83" s="275">
        <f t="shared" si="10"/>
        <v>0.24300000000000002</v>
      </c>
      <c r="J83" s="269"/>
    </row>
    <row r="84" spans="1:10" ht="15.5" x14ac:dyDescent="0.45">
      <c r="A84" s="270" t="s">
        <v>162</v>
      </c>
      <c r="B84" s="271" t="s">
        <v>163</v>
      </c>
      <c r="C84" s="300">
        <v>75708873</v>
      </c>
      <c r="D84" s="273">
        <f t="shared" si="11"/>
        <v>2551389020.1000004</v>
      </c>
      <c r="E84" s="273" t="s">
        <v>272</v>
      </c>
      <c r="F84" s="295">
        <f>'Price-List'!O86</f>
        <v>33.700000000000003</v>
      </c>
      <c r="G84" s="274">
        <f t="shared" si="12"/>
        <v>37.070000000000007</v>
      </c>
      <c r="H84" s="275">
        <f t="shared" si="10"/>
        <v>30.330000000000002</v>
      </c>
      <c r="J84" s="269"/>
    </row>
    <row r="85" spans="1:10" ht="15.5" x14ac:dyDescent="0.45">
      <c r="A85" s="270" t="s">
        <v>296</v>
      </c>
      <c r="B85" s="271" t="s">
        <v>165</v>
      </c>
      <c r="C85" s="300">
        <v>50500000</v>
      </c>
      <c r="D85" s="273">
        <f t="shared" si="11"/>
        <v>737300000.00000012</v>
      </c>
      <c r="E85" s="273" t="s">
        <v>272</v>
      </c>
      <c r="F85" s="295">
        <f>'Price-List'!O87</f>
        <v>14.600000000000001</v>
      </c>
      <c r="G85" s="274">
        <f t="shared" si="12"/>
        <v>16.060000000000002</v>
      </c>
      <c r="H85" s="275">
        <f>0.9*F85</f>
        <v>13.140000000000002</v>
      </c>
      <c r="J85" s="269"/>
    </row>
    <row r="86" spans="1:10" ht="16" thickBot="1" x14ac:dyDescent="0.5">
      <c r="A86" s="301"/>
      <c r="B86" s="302"/>
      <c r="C86" s="303"/>
      <c r="D86" s="303"/>
      <c r="E86" s="303"/>
      <c r="F86" s="304"/>
      <c r="G86" s="305" t="s">
        <v>278</v>
      </c>
      <c r="H86" s="306"/>
      <c r="J86" s="269"/>
    </row>
    <row r="87" spans="1:10" ht="15" thickBot="1" x14ac:dyDescent="0.4">
      <c r="A87" s="284" t="s">
        <v>166</v>
      </c>
      <c r="B87" s="285"/>
      <c r="C87" s="286"/>
      <c r="D87" s="287"/>
      <c r="E87" s="287"/>
      <c r="F87" s="287"/>
      <c r="G87" s="292" t="s">
        <v>278</v>
      </c>
      <c r="H87" s="291"/>
      <c r="J87" s="269"/>
    </row>
    <row r="88" spans="1:10" ht="15.5" x14ac:dyDescent="0.45">
      <c r="A88" s="262" t="s">
        <v>297</v>
      </c>
      <c r="B88" s="263" t="s">
        <v>168</v>
      </c>
      <c r="C88" s="264">
        <v>40065428000</v>
      </c>
      <c r="D88" s="265">
        <f>C88*F88</f>
        <v>1442355408000</v>
      </c>
      <c r="E88" s="273" t="s">
        <v>272</v>
      </c>
      <c r="F88" s="266">
        <f>'Price-List'!O90</f>
        <v>36</v>
      </c>
      <c r="G88" s="267">
        <f>1.1*F88</f>
        <v>39.6</v>
      </c>
      <c r="H88" s="268">
        <f t="shared" si="10"/>
        <v>32.4</v>
      </c>
      <c r="J88" s="269"/>
    </row>
    <row r="89" spans="1:10" ht="16" thickBot="1" x14ac:dyDescent="0.5">
      <c r="A89" s="277"/>
      <c r="B89" s="278"/>
      <c r="C89" s="279"/>
      <c r="D89" s="280"/>
      <c r="E89" s="280"/>
      <c r="F89" s="281"/>
      <c r="G89" s="282" t="s">
        <v>278</v>
      </c>
      <c r="H89" s="283"/>
      <c r="J89" s="269"/>
    </row>
    <row r="90" spans="1:10" ht="15" thickBot="1" x14ac:dyDescent="0.4">
      <c r="A90" s="284" t="s">
        <v>169</v>
      </c>
      <c r="B90" s="285"/>
      <c r="C90" s="286"/>
      <c r="D90" s="287"/>
      <c r="E90" s="307"/>
      <c r="F90" s="287"/>
      <c r="G90" s="292"/>
      <c r="H90" s="291"/>
      <c r="J90" s="269"/>
    </row>
    <row r="91" spans="1:10" ht="15.5" x14ac:dyDescent="0.45">
      <c r="A91" s="308" t="s">
        <v>298</v>
      </c>
      <c r="B91" s="309" t="s">
        <v>171</v>
      </c>
      <c r="C91" s="272">
        <v>346231413</v>
      </c>
      <c r="D91" s="265">
        <f>C91*F91</f>
        <v>6924628260</v>
      </c>
      <c r="E91" s="310" t="s">
        <v>272</v>
      </c>
      <c r="F91" s="304">
        <f>'Price-List'!O93</f>
        <v>20</v>
      </c>
      <c r="G91" s="267">
        <f>1.1*F91</f>
        <v>22</v>
      </c>
      <c r="H91" s="268">
        <f>0.9*F91</f>
        <v>18</v>
      </c>
      <c r="J91" s="269"/>
    </row>
    <row r="92" spans="1:10" ht="15.5" x14ac:dyDescent="0.45">
      <c r="A92" s="308" t="s">
        <v>299</v>
      </c>
      <c r="B92" s="309" t="s">
        <v>173</v>
      </c>
      <c r="C92" s="311">
        <v>39950000</v>
      </c>
      <c r="D92" s="265">
        <f>C92*F92</f>
        <v>40749000</v>
      </c>
      <c r="E92" s="310" t="s">
        <v>300</v>
      </c>
      <c r="F92" s="304">
        <f>'Price-List'!O94</f>
        <v>1.02</v>
      </c>
      <c r="G92" s="267">
        <f>1.1*F92</f>
        <v>1.1220000000000001</v>
      </c>
      <c r="H92" s="268">
        <f>0.9*F92</f>
        <v>0.91800000000000004</v>
      </c>
      <c r="J92" s="269"/>
    </row>
    <row r="93" spans="1:10" ht="15.5" x14ac:dyDescent="0.45">
      <c r="A93" s="308" t="s">
        <v>174</v>
      </c>
      <c r="B93" s="278" t="s">
        <v>175</v>
      </c>
      <c r="C93" s="311">
        <v>37290000</v>
      </c>
      <c r="D93" s="265">
        <f>C93*F93</f>
        <v>45866700</v>
      </c>
      <c r="E93" s="310" t="s">
        <v>300</v>
      </c>
      <c r="F93" s="304">
        <f>'Price-List'!O95</f>
        <v>1.23</v>
      </c>
      <c r="G93" s="267">
        <f>1.1*F93</f>
        <v>1.353</v>
      </c>
      <c r="H93" s="268">
        <f>0.9*F93</f>
        <v>1.107</v>
      </c>
      <c r="J93" s="269"/>
    </row>
    <row r="94" spans="1:10" ht="16" thickBot="1" x14ac:dyDescent="0.5">
      <c r="A94" s="277"/>
      <c r="B94" s="278"/>
      <c r="C94" s="312"/>
      <c r="D94" s="280"/>
      <c r="E94" s="280"/>
      <c r="F94" s="281" t="s">
        <v>278</v>
      </c>
      <c r="G94" s="282" t="s">
        <v>278</v>
      </c>
      <c r="H94" s="283"/>
      <c r="J94" s="269"/>
    </row>
    <row r="95" spans="1:10" ht="15" thickBot="1" x14ac:dyDescent="0.4">
      <c r="A95" s="284" t="s">
        <v>176</v>
      </c>
      <c r="B95" s="285"/>
      <c r="C95" s="286"/>
      <c r="D95" s="287"/>
      <c r="E95" s="287"/>
      <c r="F95" s="287"/>
      <c r="G95" s="292"/>
      <c r="H95" s="291"/>
      <c r="J95" s="269"/>
    </row>
    <row r="96" spans="1:10" ht="15.5" x14ac:dyDescent="0.45">
      <c r="A96" s="262" t="s">
        <v>301</v>
      </c>
      <c r="B96" s="313" t="s">
        <v>178</v>
      </c>
      <c r="C96" s="314">
        <f>150000+100000+150000</f>
        <v>400000</v>
      </c>
      <c r="D96" s="265">
        <f>C96*F96</f>
        <v>2062000000</v>
      </c>
      <c r="E96" s="273" t="s">
        <v>272</v>
      </c>
      <c r="F96" s="295">
        <f>'Price-List'!O98</f>
        <v>5155</v>
      </c>
      <c r="G96" s="268"/>
      <c r="H96" s="268"/>
      <c r="J96" s="269"/>
    </row>
    <row r="97" spans="1:10" ht="15.5" x14ac:dyDescent="0.45">
      <c r="A97" s="262" t="s">
        <v>179</v>
      </c>
      <c r="B97" s="271" t="s">
        <v>180</v>
      </c>
      <c r="C97" s="272">
        <v>100000</v>
      </c>
      <c r="D97" s="265">
        <f>C97*F97</f>
        <v>93100000</v>
      </c>
      <c r="E97" s="273" t="s">
        <v>272</v>
      </c>
      <c r="F97" s="304">
        <f>'Price-List'!O99</f>
        <v>931</v>
      </c>
      <c r="G97" s="268"/>
      <c r="H97" s="268"/>
      <c r="J97" s="269"/>
    </row>
    <row r="98" spans="1:10" ht="15" thickBot="1" x14ac:dyDescent="0.4">
      <c r="A98" s="315"/>
      <c r="B98" s="316"/>
      <c r="C98" s="317">
        <f>SUM(C3:C89)</f>
        <v>124956113166</v>
      </c>
      <c r="D98" s="317">
        <f>SUM(D3:D89)</f>
        <v>4058659989889.7202</v>
      </c>
      <c r="E98" s="317"/>
      <c r="F98" s="317"/>
      <c r="G98" s="317"/>
      <c r="H98" s="318"/>
    </row>
    <row r="100" spans="1:10" x14ac:dyDescent="0.35">
      <c r="D100" s="276"/>
      <c r="E100" s="276"/>
    </row>
  </sheetData>
  <pageMargins left="0.16" right="0.16" top="0.26" bottom="0.27" header="0.3" footer="0.3"/>
  <pageSetup paperSize="9" scale="5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Price-List</vt:lpstr>
      <vt:lpstr>Sheet1</vt:lpstr>
      <vt:lpstr>'Price-List'!Print_Area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Shem Ouko</dc:creator>
  <cp:lastModifiedBy>Dennis  Murathi Nyaga</cp:lastModifiedBy>
  <dcterms:created xsi:type="dcterms:W3CDTF">2026-08-18T11:50:44Z</dcterms:created>
  <dcterms:modified xsi:type="dcterms:W3CDTF">2026-08-19T06:25:17Z</dcterms:modified>
</cp:coreProperties>
</file>